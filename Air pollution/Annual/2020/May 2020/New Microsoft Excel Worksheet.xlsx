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L16" i="1" l="1"/>
  <c r="I16" i="1"/>
  <c r="F16" i="1"/>
  <c r="I33" i="1"/>
  <c r="L33" i="1"/>
  <c r="F33" i="1"/>
  <c r="F31" i="1"/>
  <c r="H31" i="1"/>
  <c r="I31" i="1"/>
  <c r="K31" i="1"/>
  <c r="L31" i="1"/>
  <c r="E31" i="1"/>
  <c r="L15" i="1"/>
  <c r="K15" i="1"/>
  <c r="I15" i="1"/>
  <c r="H15" i="1"/>
  <c r="F15" i="1"/>
  <c r="E15" i="1"/>
</calcChain>
</file>

<file path=xl/sharedStrings.xml><?xml version="1.0" encoding="utf-8"?>
<sst xmlns="http://schemas.openxmlformats.org/spreadsheetml/2006/main" count="20" uniqueCount="11">
  <si>
    <t>UB</t>
  </si>
  <si>
    <t>may</t>
  </si>
  <si>
    <t>apr</t>
  </si>
  <si>
    <t>K</t>
  </si>
  <si>
    <t>RC</t>
  </si>
  <si>
    <t>UB RSPM</t>
  </si>
  <si>
    <t>May</t>
  </si>
  <si>
    <t>K RSPM</t>
  </si>
  <si>
    <t>RC Rspm</t>
  </si>
  <si>
    <t>ub</t>
  </si>
  <si>
    <t>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</si>
</sst>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60"/>
  <sheetViews>
    <sheetView tabSelected="1" topLeftCell="A10" zoomScaleNormal="100" workbookViewId="0">
      <selection activeCell="R20" sqref="R20"/>
    </sheetView>
  </sheetViews>
  <sheetFormatPr defaultRowHeight="15" x14ac:dyDescent="0.25"/>
  <sheetData>
    <row r="2" spans="5:14" x14ac:dyDescent="0.25">
      <c r="E2" s="1"/>
      <c r="F2" s="1"/>
      <c r="G2" s="1"/>
      <c r="H2" s="1"/>
      <c r="I2" s="1"/>
      <c r="J2" s="1"/>
      <c r="K2" s="1"/>
      <c r="L2" s="1"/>
      <c r="M2" s="1"/>
      <c r="N2" s="1"/>
    </row>
    <row r="3" spans="5:14" x14ac:dyDescent="0.25">
      <c r="E3" s="2" t="s">
        <v>0</v>
      </c>
      <c r="F3" s="3"/>
      <c r="G3" s="3"/>
      <c r="H3" s="2" t="s">
        <v>3</v>
      </c>
      <c r="I3" s="3"/>
      <c r="J3" s="3"/>
      <c r="K3" s="2" t="s">
        <v>4</v>
      </c>
      <c r="L3" s="3"/>
      <c r="M3" s="1"/>
      <c r="N3" s="1"/>
    </row>
    <row r="4" spans="5:14" x14ac:dyDescent="0.25">
      <c r="E4" s="2" t="s">
        <v>1</v>
      </c>
      <c r="F4" s="2" t="s">
        <v>2</v>
      </c>
      <c r="G4" s="3"/>
      <c r="H4" s="2" t="s">
        <v>1</v>
      </c>
      <c r="I4" s="2" t="s">
        <v>2</v>
      </c>
      <c r="J4" s="3"/>
      <c r="K4" s="2" t="s">
        <v>1</v>
      </c>
      <c r="L4" s="2" t="s">
        <v>2</v>
      </c>
      <c r="M4" s="1"/>
      <c r="N4" s="1"/>
    </row>
    <row r="5" spans="5:14" x14ac:dyDescent="0.25">
      <c r="E5" s="3">
        <v>24.223443865345882</v>
      </c>
      <c r="F5" s="3">
        <v>25.223862608864753</v>
      </c>
      <c r="G5" s="3"/>
      <c r="H5" s="3">
        <v>27.161247415579897</v>
      </c>
      <c r="I5" s="3">
        <v>24.069259407032195</v>
      </c>
      <c r="J5" s="3"/>
      <c r="K5" s="3">
        <v>25.479715246911443</v>
      </c>
      <c r="L5" s="3">
        <v>25.327216658250038</v>
      </c>
      <c r="M5" s="1"/>
      <c r="N5" s="1"/>
    </row>
    <row r="6" spans="5:14" x14ac:dyDescent="0.25">
      <c r="E6" s="3">
        <v>13.68579480207636</v>
      </c>
      <c r="F6" s="3">
        <v>29.934480907951173</v>
      </c>
      <c r="G6" s="3"/>
      <c r="H6" s="3">
        <v>30.90241905362787</v>
      </c>
      <c r="I6" s="3">
        <v>21.780385166938441</v>
      </c>
      <c r="J6" s="3"/>
      <c r="K6" s="3">
        <v>32.943412229088317</v>
      </c>
      <c r="L6" s="3">
        <v>27.927392518748963</v>
      </c>
      <c r="M6" s="1"/>
      <c r="N6" s="1"/>
    </row>
    <row r="7" spans="5:14" x14ac:dyDescent="0.25">
      <c r="E7" s="3">
        <v>22.942706292085845</v>
      </c>
      <c r="F7" s="3">
        <v>33.147918457610366</v>
      </c>
      <c r="G7" s="3"/>
      <c r="H7" s="3">
        <v>30.621329234668988</v>
      </c>
      <c r="I7" s="3">
        <v>20.227698547927478</v>
      </c>
      <c r="J7" s="3"/>
      <c r="K7" s="3">
        <v>23.732844036652338</v>
      </c>
      <c r="L7" s="3">
        <v>30.835238586896697</v>
      </c>
      <c r="M7" s="1"/>
      <c r="N7" s="1"/>
    </row>
    <row r="8" spans="5:14" x14ac:dyDescent="0.25">
      <c r="E8" s="3">
        <v>15.358948486355422</v>
      </c>
      <c r="F8" s="3">
        <v>30.016362529687182</v>
      </c>
      <c r="G8" s="3"/>
      <c r="H8" s="3">
        <v>46.793905587230363</v>
      </c>
      <c r="I8" s="3">
        <v>12.460791985824081</v>
      </c>
      <c r="J8" s="3"/>
      <c r="K8" s="3">
        <v>39.147466090395064</v>
      </c>
      <c r="L8" s="3">
        <v>28.477185465311265</v>
      </c>
      <c r="M8" s="1"/>
      <c r="N8" s="1"/>
    </row>
    <row r="9" spans="5:14" x14ac:dyDescent="0.25">
      <c r="E9" s="3">
        <v>18.839302235483238</v>
      </c>
      <c r="F9" s="3">
        <v>32.060241403148979</v>
      </c>
      <c r="G9" s="3"/>
      <c r="H9" s="3">
        <v>34.986447321305043</v>
      </c>
      <c r="I9" s="3">
        <v>7.5072404721794976</v>
      </c>
      <c r="J9" s="3"/>
      <c r="K9" s="3">
        <v>47.703729082098789</v>
      </c>
      <c r="L9" s="3">
        <v>22.43278794412727</v>
      </c>
      <c r="M9" s="1"/>
      <c r="N9" s="1"/>
    </row>
    <row r="10" spans="5:14" x14ac:dyDescent="0.25">
      <c r="E10" s="3">
        <v>16.459756450931035</v>
      </c>
      <c r="F10" s="3">
        <v>31.140134036475501</v>
      </c>
      <c r="G10" s="3"/>
      <c r="H10" s="3">
        <v>26.371518876600181</v>
      </c>
      <c r="I10" s="3">
        <v>17.717968021508891</v>
      </c>
      <c r="J10" s="3"/>
      <c r="K10" s="3">
        <v>35.028288879380021</v>
      </c>
      <c r="L10" s="3">
        <v>23.687780367016572</v>
      </c>
      <c r="M10" s="1"/>
      <c r="N10" s="1"/>
    </row>
    <row r="11" spans="5:14" x14ac:dyDescent="0.25">
      <c r="E11" s="3">
        <v>14.43536765263338</v>
      </c>
      <c r="F11" s="3">
        <v>29.232484517037367</v>
      </c>
      <c r="G11" s="3"/>
      <c r="H11" s="3">
        <v>32.833365564965916</v>
      </c>
      <c r="I11" s="3">
        <v>19.983545269702738</v>
      </c>
      <c r="J11" s="3"/>
      <c r="K11" s="3">
        <v>30.694947996777262</v>
      </c>
      <c r="L11" s="3">
        <v>24.624746430212841</v>
      </c>
      <c r="M11" s="1"/>
      <c r="N11" s="1"/>
    </row>
    <row r="12" spans="5:14" x14ac:dyDescent="0.25">
      <c r="E12" s="3">
        <v>15.820484583856429</v>
      </c>
      <c r="F12" s="3">
        <v>26.796372752727056</v>
      </c>
      <c r="G12" s="3"/>
      <c r="H12" s="3">
        <v>15.549815166043237</v>
      </c>
      <c r="I12" s="3">
        <v>22.365607477396097</v>
      </c>
      <c r="J12" s="3"/>
      <c r="K12" s="3">
        <v>32.100397091571679</v>
      </c>
      <c r="L12" s="3">
        <v>24.280203930931364</v>
      </c>
      <c r="M12" s="1"/>
      <c r="N12" s="1"/>
    </row>
    <row r="13" spans="5:14" x14ac:dyDescent="0.25">
      <c r="E13" s="3">
        <v>29.286025434934299</v>
      </c>
      <c r="F13" s="3"/>
      <c r="G13" s="3"/>
      <c r="H13" s="3"/>
      <c r="I13" s="3"/>
      <c r="J13" s="3"/>
      <c r="K13" s="3">
        <v>46.867778668698655</v>
      </c>
      <c r="L13" s="3"/>
      <c r="M13" s="1"/>
      <c r="N13" s="1"/>
    </row>
    <row r="14" spans="5:14" x14ac:dyDescent="0.25">
      <c r="E14" s="3"/>
      <c r="F14" s="3"/>
      <c r="G14" s="3"/>
      <c r="H14" s="3"/>
      <c r="I14" s="3"/>
      <c r="J14" s="3"/>
      <c r="K14" s="3"/>
      <c r="L14" s="3"/>
      <c r="M14" s="1"/>
      <c r="N14" s="1"/>
    </row>
    <row r="15" spans="5:14" x14ac:dyDescent="0.25">
      <c r="E15" s="3">
        <f>AVERAGE(E5:E13)</f>
        <v>19.005758867077986</v>
      </c>
      <c r="F15" s="3">
        <f>AVERAGE(F5:F13)</f>
        <v>29.693982151687795</v>
      </c>
      <c r="G15" s="3"/>
      <c r="H15" s="3">
        <f>AVERAGE(H5:H13)</f>
        <v>30.652506027502689</v>
      </c>
      <c r="I15" s="3">
        <f>AVERAGE(I5:I13)</f>
        <v>18.264062043563676</v>
      </c>
      <c r="J15" s="3"/>
      <c r="K15" s="3">
        <f>AVERAGE(K5:K13)</f>
        <v>34.855397702397063</v>
      </c>
      <c r="L15" s="3">
        <f>AVERAGE(L5:L13)</f>
        <v>25.949068987686871</v>
      </c>
      <c r="M15" s="1"/>
      <c r="N15" s="1"/>
    </row>
    <row r="16" spans="5:14" x14ac:dyDescent="0.25">
      <c r="E16" s="3"/>
      <c r="F16" s="3">
        <f>(F15-E15)/E15*100</f>
        <v>56.236761496138321</v>
      </c>
      <c r="G16" s="3"/>
      <c r="H16" s="3"/>
      <c r="I16" s="3">
        <f>(H15-I15)/H15*100</f>
        <v>40.415762328938428</v>
      </c>
      <c r="J16" s="3"/>
      <c r="K16" s="3"/>
      <c r="L16" s="3">
        <f t="shared" ref="L16" si="0">(K15-L15)/K15*100</f>
        <v>25.552222329391721</v>
      </c>
      <c r="M16" s="1"/>
      <c r="N16" s="1"/>
    </row>
    <row r="17" spans="2:17" x14ac:dyDescent="0.25"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7" x14ac:dyDescent="0.25"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7" x14ac:dyDescent="0.25">
      <c r="E19" s="1" t="s">
        <v>5</v>
      </c>
      <c r="F19" s="1"/>
      <c r="G19" s="1"/>
      <c r="H19" s="1" t="s">
        <v>7</v>
      </c>
      <c r="I19" s="1"/>
      <c r="J19" s="1"/>
      <c r="K19" s="1" t="s">
        <v>8</v>
      </c>
      <c r="L19" s="1"/>
      <c r="M19" s="1"/>
      <c r="N19" s="1"/>
    </row>
    <row r="20" spans="2:17" x14ac:dyDescent="0.25">
      <c r="E20" t="s">
        <v>6</v>
      </c>
      <c r="F20" s="1" t="s">
        <v>2</v>
      </c>
      <c r="G20" s="1"/>
      <c r="H20" t="s">
        <v>6</v>
      </c>
      <c r="I20" s="1" t="s">
        <v>2</v>
      </c>
      <c r="J20" s="1"/>
      <c r="K20" t="s">
        <v>6</v>
      </c>
      <c r="L20" s="1" t="s">
        <v>2</v>
      </c>
      <c r="M20" s="1"/>
      <c r="N20" s="1"/>
    </row>
    <row r="21" spans="2:17" x14ac:dyDescent="0.25">
      <c r="B21" s="1"/>
      <c r="C21" s="1"/>
      <c r="D21" s="1"/>
      <c r="E21" s="1">
        <v>73.39382192514195</v>
      </c>
      <c r="F21" s="1">
        <v>44.244008048062007</v>
      </c>
      <c r="G21" s="1" t="s">
        <v>9</v>
      </c>
      <c r="H21" s="1">
        <v>51.420377799029531</v>
      </c>
      <c r="I21" s="1">
        <v>95.879336154171185</v>
      </c>
      <c r="J21" s="1"/>
      <c r="K21" s="1">
        <v>69.863406795225259</v>
      </c>
      <c r="L21" s="1">
        <v>103.7710590930803</v>
      </c>
      <c r="M21" s="1"/>
      <c r="N21" s="1"/>
      <c r="O21" s="1"/>
      <c r="P21" s="1"/>
      <c r="Q21" s="1"/>
    </row>
    <row r="22" spans="2:17" x14ac:dyDescent="0.25">
      <c r="B22" s="1"/>
      <c r="C22" s="1"/>
      <c r="D22" s="1"/>
      <c r="E22" s="1">
        <v>41.903714397677504</v>
      </c>
      <c r="F22" s="1">
        <v>86.736468279026596</v>
      </c>
      <c r="G22" s="1" t="s">
        <v>10</v>
      </c>
      <c r="H22" s="1">
        <v>46.063647329554378</v>
      </c>
      <c r="I22" s="1">
        <v>64.688416657933701</v>
      </c>
      <c r="J22" s="1"/>
      <c r="K22" s="1">
        <v>37.63846545847403</v>
      </c>
      <c r="L22" s="1">
        <v>81.446453225164547</v>
      </c>
      <c r="M22" s="1"/>
      <c r="N22" s="1"/>
      <c r="O22" s="1"/>
      <c r="P22" s="1"/>
      <c r="Q22" s="1"/>
    </row>
    <row r="23" spans="2:17" x14ac:dyDescent="0.25">
      <c r="B23" s="1"/>
      <c r="C23" s="1"/>
      <c r="D23" s="1"/>
      <c r="E23" s="1">
        <v>46.716927183448234</v>
      </c>
      <c r="F23" s="1">
        <v>78.723208378388151</v>
      </c>
      <c r="G23" s="1"/>
      <c r="H23" s="1">
        <v>37.989891160206696</v>
      </c>
      <c r="I23" s="1">
        <v>40.905592203611683</v>
      </c>
      <c r="J23" s="1"/>
      <c r="K23" s="1">
        <v>35.603996843492496</v>
      </c>
      <c r="L23" s="1">
        <v>86.48865735419713</v>
      </c>
      <c r="M23" s="1"/>
      <c r="N23" s="1"/>
      <c r="O23" s="1"/>
      <c r="P23" s="1"/>
      <c r="Q23" s="1"/>
    </row>
    <row r="24" spans="2:17" x14ac:dyDescent="0.25">
      <c r="B24" s="1"/>
      <c r="C24" s="1"/>
      <c r="D24" s="1"/>
      <c r="E24" s="1">
        <v>34.932826835253366</v>
      </c>
      <c r="F24" s="1">
        <v>68.275379452264602</v>
      </c>
      <c r="G24" s="1"/>
      <c r="H24" s="1">
        <v>64.274592801095665</v>
      </c>
      <c r="I24" s="1">
        <v>65.778228704121005</v>
      </c>
      <c r="J24" s="1"/>
      <c r="K24" s="1">
        <v>38.796439552140249</v>
      </c>
      <c r="L24" s="1">
        <v>58.121154871899847</v>
      </c>
      <c r="M24" s="1"/>
      <c r="N24" s="1"/>
      <c r="O24" s="1"/>
      <c r="P24" s="1"/>
      <c r="Q24" s="1"/>
    </row>
    <row r="25" spans="2:17" x14ac:dyDescent="0.25">
      <c r="B25" s="1"/>
      <c r="C25" s="1"/>
      <c r="D25" s="1"/>
      <c r="E25" s="1">
        <v>67.643428388027175</v>
      </c>
      <c r="F25" s="1">
        <v>53.906170523709449</v>
      </c>
      <c r="G25" s="1"/>
      <c r="H25" s="1">
        <v>33.701351448131497</v>
      </c>
      <c r="I25" s="1">
        <v>67.671545493496509</v>
      </c>
      <c r="J25" s="1"/>
      <c r="K25" s="1">
        <v>69.332623846539093</v>
      </c>
      <c r="L25" s="1">
        <v>58.246549322253308</v>
      </c>
      <c r="M25" s="1"/>
      <c r="N25" s="1"/>
      <c r="O25" s="1"/>
      <c r="P25" s="1"/>
      <c r="Q25" s="1"/>
    </row>
    <row r="26" spans="2:17" x14ac:dyDescent="0.25">
      <c r="B26" s="1"/>
      <c r="C26" s="1"/>
      <c r="D26" s="1"/>
      <c r="E26" s="1">
        <v>43.627763304960546</v>
      </c>
      <c r="F26" s="1">
        <v>56.405148185350988</v>
      </c>
      <c r="G26" s="1"/>
      <c r="H26" s="1">
        <v>72.681013452843629</v>
      </c>
      <c r="I26" s="1">
        <v>44.626650820383674</v>
      </c>
      <c r="J26" s="1"/>
      <c r="K26" s="1">
        <v>19.078686152616829</v>
      </c>
      <c r="L26" s="1">
        <v>52.370786743730626</v>
      </c>
      <c r="M26" s="1"/>
      <c r="N26" s="1"/>
      <c r="O26" s="1"/>
      <c r="P26" s="1"/>
      <c r="Q26" s="1"/>
    </row>
    <row r="27" spans="2:17" x14ac:dyDescent="0.25">
      <c r="B27" s="1"/>
      <c r="C27" s="1"/>
      <c r="D27" s="1"/>
      <c r="E27" s="1">
        <v>54.131118306328894</v>
      </c>
      <c r="F27" s="1">
        <v>50.005766113816691</v>
      </c>
      <c r="G27" s="1"/>
      <c r="H27" s="1">
        <v>26.347552375231274</v>
      </c>
      <c r="I27" s="1">
        <v>40.917426673027613</v>
      </c>
      <c r="J27" s="1"/>
      <c r="K27" s="1">
        <v>55.767468267468281</v>
      </c>
      <c r="L27" s="1">
        <v>39.922521389560295</v>
      </c>
      <c r="M27" s="1"/>
      <c r="N27" s="1"/>
      <c r="O27" s="1"/>
      <c r="P27" s="1"/>
      <c r="Q27" s="1"/>
    </row>
    <row r="28" spans="2:17" x14ac:dyDescent="0.25">
      <c r="B28" s="1"/>
      <c r="C28" s="1"/>
      <c r="D28" s="1"/>
      <c r="E28" s="1">
        <v>51.161148764691802</v>
      </c>
      <c r="F28" s="1">
        <v>61.392755769905101</v>
      </c>
      <c r="G28" s="1"/>
      <c r="H28" s="1">
        <v>59.184573595376293</v>
      </c>
      <c r="I28" s="1">
        <v>44.248841632332208</v>
      </c>
      <c r="J28" s="1"/>
      <c r="K28" s="1">
        <v>32.865819704539746</v>
      </c>
      <c r="L28" s="1">
        <v>37.910737765620063</v>
      </c>
      <c r="M28" s="1"/>
      <c r="N28" s="1"/>
      <c r="O28" s="1"/>
      <c r="P28" s="1"/>
      <c r="Q28" s="1"/>
    </row>
    <row r="29" spans="2:17" x14ac:dyDescent="0.25">
      <c r="B29" s="1"/>
      <c r="C29" s="1"/>
      <c r="D29" s="1"/>
      <c r="E29" s="1">
        <v>46.672643482274054</v>
      </c>
      <c r="F29" s="1"/>
      <c r="G29" s="1"/>
      <c r="H29" s="1">
        <v>50.331961531774418</v>
      </c>
      <c r="I29" s="1"/>
      <c r="J29" s="1"/>
      <c r="K29" s="1">
        <v>48.097421448812156</v>
      </c>
      <c r="L29" s="1"/>
      <c r="M29" s="1"/>
      <c r="N29" s="1"/>
      <c r="O29" s="1"/>
      <c r="P29" s="1"/>
      <c r="Q29" s="1"/>
    </row>
    <row r="30" spans="2:17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2:17" x14ac:dyDescent="0.25">
      <c r="B31" s="1"/>
      <c r="C31" s="1"/>
      <c r="D31" s="1"/>
      <c r="E31" s="1">
        <f>AVERAGE(E21:E29)</f>
        <v>51.131488065311508</v>
      </c>
      <c r="F31" s="1">
        <f t="shared" ref="F31:L31" si="1">AVERAGE(F21:F29)</f>
        <v>62.461113093815442</v>
      </c>
      <c r="G31" s="1"/>
      <c r="H31" s="1">
        <f t="shared" si="1"/>
        <v>49.110551277027042</v>
      </c>
      <c r="I31" s="1">
        <f t="shared" si="1"/>
        <v>58.089504792384695</v>
      </c>
      <c r="J31" s="1"/>
      <c r="K31" s="1">
        <f t="shared" si="1"/>
        <v>45.227147563256459</v>
      </c>
      <c r="L31" s="1">
        <f t="shared" si="1"/>
        <v>64.784739970688264</v>
      </c>
      <c r="M31" s="1"/>
      <c r="N31" s="1"/>
      <c r="O31" s="1"/>
      <c r="P31" s="1"/>
      <c r="Q31" s="1"/>
    </row>
    <row r="32" spans="2:17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2:17" x14ac:dyDescent="0.25">
      <c r="B33" s="1"/>
      <c r="C33" s="1"/>
      <c r="D33" s="1"/>
      <c r="E33" s="1"/>
      <c r="F33" s="1">
        <f>(F31-E31)/F31*100</f>
        <v>18.138685763551869</v>
      </c>
      <c r="G33" s="1"/>
      <c r="H33" s="1"/>
      <c r="I33" s="1">
        <f t="shared" ref="I33:L33" si="2">(I31-H31)/I31*100</f>
        <v>15.457101153554262</v>
      </c>
      <c r="J33" s="1"/>
      <c r="K33" s="1"/>
      <c r="L33" s="1">
        <f t="shared" si="2"/>
        <v>30.188579002216574</v>
      </c>
      <c r="M33" s="1"/>
      <c r="N33" s="1"/>
      <c r="O33" s="1"/>
      <c r="P33" s="1"/>
      <c r="Q33" s="1"/>
    </row>
    <row r="34" spans="2:17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2:17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2:17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2:17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2:17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2:17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2:17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2:17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2:17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2:17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2:17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2:17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2:17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2:17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2:17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2:17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2:17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2:17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2:17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2:17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2:17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2:17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2:17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2:17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2:17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2:17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2020-06-05T07:13:36Z</dcterms:modified>
</cp:coreProperties>
</file>