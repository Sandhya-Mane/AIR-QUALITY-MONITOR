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firstSheet="1" activeTab="4"/>
  </bookViews>
  <sheets>
    <sheet name="Sheet1" sheetId="1" state="hidden" r:id="rId1"/>
    <sheet name="kolhapur" sheetId="2" r:id="rId2"/>
    <sheet name="nagpur" sheetId="3" r:id="rId3"/>
    <sheet name="% reduction at Nagpur" sheetId="4" r:id="rId4"/>
    <sheet name="% reduction at Sangli" sheetId="5" r:id="rId5"/>
    <sheet name="march 19 to april 19" sheetId="6" r:id="rId6"/>
  </sheets>
  <calcPr calcId="144525"/>
</workbook>
</file>

<file path=xl/calcChain.xml><?xml version="1.0" encoding="utf-8"?>
<calcChain xmlns="http://schemas.openxmlformats.org/spreadsheetml/2006/main">
  <c r="Q33" i="6" l="1"/>
  <c r="R33" i="6"/>
  <c r="S33" i="6"/>
  <c r="Q34" i="6"/>
  <c r="R34" i="6"/>
  <c r="S34" i="6"/>
  <c r="Q35" i="6"/>
  <c r="R35" i="6"/>
  <c r="S35" i="6"/>
  <c r="Q36" i="6"/>
  <c r="R36" i="6"/>
  <c r="S36" i="6"/>
  <c r="Q37" i="6"/>
  <c r="R37" i="6"/>
  <c r="S37" i="6"/>
  <c r="Q38" i="6"/>
  <c r="R38" i="6"/>
  <c r="S38" i="6"/>
  <c r="Q39" i="6"/>
  <c r="R39" i="6"/>
  <c r="S39" i="6"/>
  <c r="P33" i="6"/>
  <c r="P34" i="6"/>
  <c r="P35" i="6"/>
  <c r="P36" i="6"/>
  <c r="P37" i="6"/>
  <c r="P38" i="6"/>
  <c r="P39" i="6"/>
  <c r="Q32" i="6"/>
  <c r="R32" i="6"/>
  <c r="S32" i="6"/>
  <c r="P32" i="6"/>
  <c r="Q14" i="6"/>
  <c r="R14" i="6"/>
  <c r="S14" i="6"/>
  <c r="P14" i="6"/>
  <c r="D14" i="6"/>
  <c r="E14" i="6"/>
  <c r="F14" i="6"/>
  <c r="C14" i="6"/>
  <c r="P19" i="6"/>
  <c r="Q19" i="6"/>
  <c r="R19" i="6"/>
  <c r="S19" i="6"/>
  <c r="P20" i="6"/>
  <c r="Q20" i="6"/>
  <c r="R20" i="6"/>
  <c r="S20" i="6"/>
  <c r="P21" i="6"/>
  <c r="Q21" i="6"/>
  <c r="R21" i="6"/>
  <c r="S21" i="6"/>
  <c r="P22" i="6"/>
  <c r="Q22" i="6"/>
  <c r="R22" i="6"/>
  <c r="S22" i="6"/>
  <c r="P23" i="6"/>
  <c r="Q23" i="6"/>
  <c r="R23" i="6"/>
  <c r="S23" i="6"/>
  <c r="P24" i="6"/>
  <c r="Q24" i="6"/>
  <c r="R24" i="6"/>
  <c r="S24" i="6"/>
  <c r="P25" i="6"/>
  <c r="Q25" i="6"/>
  <c r="R25" i="6"/>
  <c r="S25" i="6"/>
  <c r="P26" i="6"/>
  <c r="Q26" i="6"/>
  <c r="R26" i="6"/>
  <c r="S26" i="6"/>
  <c r="Q18" i="6"/>
  <c r="R18" i="6"/>
  <c r="S18" i="6"/>
  <c r="P18" i="6"/>
  <c r="P8" i="6" l="1"/>
  <c r="Q8" i="6"/>
  <c r="R8" i="6"/>
  <c r="S8" i="6"/>
  <c r="P9" i="6"/>
  <c r="Q9" i="6"/>
  <c r="R9" i="6"/>
  <c r="S9" i="6"/>
  <c r="P10" i="6"/>
  <c r="Q10" i="6"/>
  <c r="R10" i="6"/>
  <c r="S10" i="6"/>
  <c r="P11" i="6"/>
  <c r="Q11" i="6"/>
  <c r="R11" i="6"/>
  <c r="S11" i="6"/>
  <c r="P12" i="6"/>
  <c r="Q12" i="6"/>
  <c r="R12" i="6"/>
  <c r="S12" i="6"/>
  <c r="P13" i="6"/>
  <c r="Q13" i="6"/>
  <c r="R13" i="6"/>
  <c r="S13" i="6"/>
  <c r="Q7" i="6"/>
  <c r="R7" i="6"/>
  <c r="S7" i="6"/>
  <c r="Q6" i="6"/>
  <c r="R6" i="6"/>
  <c r="S6" i="6"/>
  <c r="P7" i="6"/>
  <c r="P6" i="6"/>
  <c r="N27" i="6"/>
  <c r="M27" i="6"/>
  <c r="L27" i="6"/>
  <c r="K27" i="6"/>
  <c r="N14" i="6"/>
  <c r="M14" i="6"/>
  <c r="L14" i="6"/>
  <c r="K14" i="6"/>
  <c r="P63" i="4" l="1"/>
  <c r="Q63" i="4"/>
  <c r="O63" i="4"/>
  <c r="E63" i="4"/>
  <c r="F63" i="4"/>
  <c r="J63" i="4"/>
  <c r="K63" i="4"/>
  <c r="L63" i="4"/>
  <c r="D63" i="4"/>
  <c r="P31" i="4"/>
  <c r="Q31" i="4"/>
  <c r="O31" i="4"/>
  <c r="E31" i="4"/>
  <c r="F31" i="4"/>
  <c r="G31" i="4"/>
  <c r="J31" i="4"/>
  <c r="K31" i="4"/>
  <c r="L31" i="4"/>
  <c r="M31" i="4"/>
  <c r="D31" i="4"/>
  <c r="P29" i="4"/>
  <c r="Q29" i="4"/>
  <c r="O29" i="4"/>
  <c r="O60" i="4"/>
  <c r="S48" i="5"/>
  <c r="R48" i="5"/>
  <c r="Q48" i="5"/>
  <c r="P48" i="5"/>
  <c r="S61" i="5"/>
  <c r="R61" i="5"/>
  <c r="Q61" i="5"/>
  <c r="P61" i="5"/>
  <c r="S74" i="5"/>
  <c r="Q74" i="5"/>
  <c r="R74" i="5"/>
  <c r="P74" i="5"/>
  <c r="D74" i="5"/>
  <c r="E74" i="5"/>
  <c r="F74" i="5"/>
  <c r="C74" i="5"/>
  <c r="D61" i="5"/>
  <c r="E61" i="5"/>
  <c r="F61" i="5"/>
  <c r="C61" i="5"/>
  <c r="D48" i="5"/>
  <c r="E48" i="5"/>
  <c r="F48" i="5"/>
  <c r="C48" i="5"/>
  <c r="N74" i="5"/>
  <c r="M74" i="5"/>
  <c r="L74" i="5"/>
  <c r="K74" i="5"/>
  <c r="N61" i="5"/>
  <c r="M61" i="5"/>
  <c r="L61" i="5"/>
  <c r="K61" i="5"/>
  <c r="N48" i="5"/>
  <c r="M48" i="5"/>
  <c r="L48" i="5"/>
  <c r="K48" i="5"/>
  <c r="Q11" i="5"/>
  <c r="R11" i="5"/>
  <c r="S11" i="5"/>
  <c r="P11" i="5"/>
  <c r="L11" i="5"/>
  <c r="M11" i="5"/>
  <c r="N11" i="5"/>
  <c r="K11" i="5"/>
  <c r="D11" i="5"/>
  <c r="E11" i="5"/>
  <c r="F11" i="5"/>
  <c r="C11" i="5"/>
  <c r="Q22" i="5"/>
  <c r="R22" i="5"/>
  <c r="S22" i="5"/>
  <c r="P22" i="5"/>
  <c r="L22" i="5"/>
  <c r="M22" i="5"/>
  <c r="N22" i="5"/>
  <c r="K22" i="5"/>
  <c r="D22" i="5"/>
  <c r="E22" i="5"/>
  <c r="F22" i="5"/>
  <c r="C22" i="5"/>
  <c r="S33" i="5"/>
  <c r="Q33" i="5"/>
  <c r="R33" i="5"/>
  <c r="P33" i="5"/>
  <c r="L33" i="5"/>
  <c r="M33" i="5"/>
  <c r="N33" i="5"/>
  <c r="K33" i="5"/>
  <c r="D33" i="5"/>
  <c r="E33" i="5"/>
  <c r="F33" i="5"/>
  <c r="C33" i="5"/>
  <c r="P16" i="5"/>
  <c r="Q16" i="5"/>
  <c r="R16" i="5"/>
  <c r="S16" i="5"/>
  <c r="P17" i="5"/>
  <c r="Q17" i="5"/>
  <c r="R17" i="5"/>
  <c r="S17" i="5"/>
  <c r="P18" i="5"/>
  <c r="Q18" i="5"/>
  <c r="R18" i="5"/>
  <c r="S18" i="5"/>
  <c r="P19" i="5"/>
  <c r="Q19" i="5"/>
  <c r="R19" i="5"/>
  <c r="S19" i="5"/>
  <c r="P20" i="5"/>
  <c r="Q20" i="5"/>
  <c r="R20" i="5"/>
  <c r="S20" i="5"/>
  <c r="P21" i="5"/>
  <c r="Q21" i="5"/>
  <c r="R21" i="5"/>
  <c r="S21" i="5"/>
  <c r="Q15" i="5"/>
  <c r="R15" i="5"/>
  <c r="S15" i="5"/>
  <c r="P15" i="5"/>
  <c r="Q58" i="4"/>
  <c r="P58" i="4"/>
  <c r="O58" i="4"/>
  <c r="Q57" i="4"/>
  <c r="P57" i="4"/>
  <c r="O57" i="4"/>
  <c r="Q56" i="4"/>
  <c r="P56" i="4"/>
  <c r="O56" i="4"/>
  <c r="Q55" i="4"/>
  <c r="P55" i="4"/>
  <c r="O55" i="4"/>
  <c r="Q54" i="4"/>
  <c r="P54" i="4"/>
  <c r="O54" i="4"/>
  <c r="Q53" i="4"/>
  <c r="P53" i="4"/>
  <c r="O53" i="4"/>
  <c r="Q52" i="4"/>
  <c r="P52" i="4"/>
  <c r="O52" i="4"/>
  <c r="Q51" i="4"/>
  <c r="P51" i="4"/>
  <c r="O51" i="4"/>
  <c r="Q50" i="4"/>
  <c r="P50" i="4"/>
  <c r="O50" i="4"/>
  <c r="Q49" i="4"/>
  <c r="P49" i="4"/>
  <c r="O49" i="4"/>
  <c r="Q48" i="4"/>
  <c r="P48" i="4"/>
  <c r="O48" i="4"/>
  <c r="Q47" i="4"/>
  <c r="P47" i="4"/>
  <c r="O47" i="4"/>
  <c r="Q46" i="4"/>
  <c r="P46" i="4"/>
  <c r="O46" i="4"/>
  <c r="Q45" i="4"/>
  <c r="P45" i="4"/>
  <c r="O45" i="4"/>
  <c r="Q44" i="4"/>
  <c r="P44" i="4"/>
  <c r="O44" i="4"/>
  <c r="Q43" i="4"/>
  <c r="P43" i="4"/>
  <c r="O43" i="4"/>
  <c r="Q42" i="4"/>
  <c r="P42" i="4"/>
  <c r="O42" i="4"/>
  <c r="Q41" i="4"/>
  <c r="P41" i="4"/>
  <c r="O41" i="4"/>
  <c r="Q40" i="4"/>
  <c r="P40" i="4"/>
  <c r="O40" i="4"/>
  <c r="Q39" i="4"/>
  <c r="P39" i="4"/>
  <c r="O39" i="4"/>
  <c r="Q38" i="4"/>
  <c r="P38" i="4"/>
  <c r="O38" i="4"/>
  <c r="Q37" i="4"/>
  <c r="P37" i="4"/>
  <c r="O37" i="4"/>
  <c r="P36" i="4"/>
  <c r="Q36" i="4"/>
  <c r="O36" i="4"/>
  <c r="O27" i="4"/>
  <c r="P27" i="4"/>
  <c r="Q27" i="4"/>
  <c r="O28" i="4"/>
  <c r="P28" i="4"/>
  <c r="Q28" i="4"/>
  <c r="O5" i="4"/>
  <c r="P5" i="4"/>
  <c r="Q5" i="4"/>
  <c r="O6" i="4"/>
  <c r="P6" i="4"/>
  <c r="Q6" i="4"/>
  <c r="O7" i="4"/>
  <c r="P7" i="4"/>
  <c r="Q7" i="4"/>
  <c r="O8" i="4"/>
  <c r="P8" i="4"/>
  <c r="Q8" i="4"/>
  <c r="O9" i="4"/>
  <c r="P9" i="4"/>
  <c r="Q9" i="4"/>
  <c r="O10" i="4"/>
  <c r="P10" i="4"/>
  <c r="Q10" i="4"/>
  <c r="O11" i="4"/>
  <c r="P11" i="4"/>
  <c r="Q11" i="4"/>
  <c r="O12" i="4"/>
  <c r="P12" i="4"/>
  <c r="Q12" i="4"/>
  <c r="O13" i="4"/>
  <c r="P13" i="4"/>
  <c r="Q13" i="4"/>
  <c r="O14" i="4"/>
  <c r="P14" i="4"/>
  <c r="Q14" i="4"/>
  <c r="O15" i="4"/>
  <c r="P15" i="4"/>
  <c r="Q15" i="4"/>
  <c r="O16" i="4"/>
  <c r="P16" i="4"/>
  <c r="Q16" i="4"/>
  <c r="O17" i="4"/>
  <c r="P17" i="4"/>
  <c r="Q17" i="4"/>
  <c r="O18" i="4"/>
  <c r="P18" i="4"/>
  <c r="Q18" i="4"/>
  <c r="O19" i="4"/>
  <c r="P19" i="4"/>
  <c r="Q19" i="4"/>
  <c r="O20" i="4"/>
  <c r="P20" i="4"/>
  <c r="Q20" i="4"/>
  <c r="O21" i="4"/>
  <c r="P21" i="4"/>
  <c r="Q21" i="4"/>
  <c r="O22" i="4"/>
  <c r="P22" i="4"/>
  <c r="Q22" i="4"/>
  <c r="O23" i="4"/>
  <c r="P23" i="4"/>
  <c r="Q23" i="4"/>
  <c r="O24" i="4"/>
  <c r="P24" i="4"/>
  <c r="Q24" i="4"/>
  <c r="O25" i="4"/>
  <c r="P25" i="4"/>
  <c r="Q25" i="4"/>
  <c r="O26" i="4"/>
  <c r="P26" i="4"/>
  <c r="Q26" i="4"/>
  <c r="P4" i="4"/>
  <c r="Q4" i="4"/>
  <c r="O4" i="4"/>
</calcChain>
</file>

<file path=xl/sharedStrings.xml><?xml version="1.0" encoding="utf-8"?>
<sst xmlns="http://schemas.openxmlformats.org/spreadsheetml/2006/main" count="720" uniqueCount="184">
  <si>
    <t>No.</t>
  </si>
  <si>
    <t>Date</t>
  </si>
  <si>
    <t>SO2</t>
  </si>
  <si>
    <r>
      <t>µg/m</t>
    </r>
    <r>
      <rPr>
        <b/>
        <sz val="7"/>
        <color rgb="FF404040"/>
        <rFont val="Calibri"/>
        <family val="2"/>
        <scheme val="minor"/>
      </rPr>
      <t>3</t>
    </r>
  </si>
  <si>
    <t>NOx</t>
  </si>
  <si>
    <t>RSPM</t>
  </si>
  <si>
    <t>SPM</t>
  </si>
  <si>
    <t>AQI</t>
  </si>
  <si>
    <t>Standards</t>
  </si>
  <si>
    <t>---</t>
  </si>
  <si>
    <t>April</t>
  </si>
  <si>
    <t>13-04-2019</t>
  </si>
  <si>
    <t>17-04-2019</t>
  </si>
  <si>
    <t>20-04-2019</t>
  </si>
  <si>
    <t>24-04-2019</t>
  </si>
  <si>
    <t>27-04-2019</t>
  </si>
  <si>
    <t>Total</t>
  </si>
  <si>
    <t>Min</t>
  </si>
  <si>
    <t>Max</t>
  </si>
  <si>
    <t>Avg</t>
  </si>
  <si>
    <t>-</t>
  </si>
  <si>
    <t>Ambient Air Quality Monitored at Ruikar Trust</t>
  </si>
  <si>
    <r>
      <t>Location :</t>
    </r>
    <r>
      <rPr>
        <sz val="11"/>
        <color rgb="FF0562A2"/>
        <rFont val="Calibri"/>
        <family val="2"/>
        <scheme val="minor"/>
      </rPr>
      <t> Ruikar trust ,Dhabhokar corner,Kolhapur</t>
    </r>
  </si>
  <si>
    <r>
      <t>Type</t>
    </r>
    <r>
      <rPr>
        <sz val="11"/>
        <color rgb="FF0562A2"/>
        <rFont val="Calibri"/>
        <family val="2"/>
        <scheme val="minor"/>
      </rPr>
      <t> :Rural &amp; other Areas</t>
    </r>
  </si>
  <si>
    <r>
      <t>Program Name :</t>
    </r>
    <r>
      <rPr>
        <sz val="11"/>
        <color rgb="FF0562A2"/>
        <rFont val="Calibri"/>
        <family val="2"/>
        <scheme val="minor"/>
      </rPr>
      <t> NAMP</t>
    </r>
  </si>
  <si>
    <r>
      <t>Status: </t>
    </r>
    <r>
      <rPr>
        <sz val="11"/>
        <color rgb="FF0562A2"/>
        <rFont val="Calibri"/>
        <family val="2"/>
        <scheme val="minor"/>
      </rPr>
      <t>In operation</t>
    </r>
  </si>
  <si>
    <r>
      <t>Frequency: </t>
    </r>
    <r>
      <rPr>
        <sz val="11"/>
        <color rgb="FF0562A2"/>
        <rFont val="Calibri"/>
        <family val="2"/>
        <scheme val="minor"/>
      </rPr>
      <t>Two days in a week</t>
    </r>
  </si>
  <si>
    <t>Quality classification</t>
  </si>
  <si>
    <t>Remarks</t>
  </si>
  <si>
    <t>Colour code</t>
  </si>
  <si>
    <t>0-50</t>
  </si>
  <si>
    <t>Minimal Impact</t>
  </si>
  <si>
    <t>Good</t>
  </si>
  <si>
    <t>51-100</t>
  </si>
  <si>
    <t>Minor breathing discomfort to sensitive people</t>
  </si>
  <si>
    <t>Satisfactory</t>
  </si>
  <si>
    <t>101-200   </t>
  </si>
  <si>
    <t>Breathing discomfort to the people with lung, heart disease, children and older adults</t>
  </si>
  <si>
    <t>Moderate</t>
  </si>
  <si>
    <t>201-300</t>
  </si>
  <si>
    <t>Breathing discomfort to people on prolonged exposure</t>
  </si>
  <si>
    <t>Poor</t>
  </si>
  <si>
    <t>301-400</t>
  </si>
  <si>
    <t>Respiratory illness to the people on prolonged exposure</t>
  </si>
  <si>
    <t>Very Poor</t>
  </si>
  <si>
    <t>&gt;401</t>
  </si>
  <si>
    <t>Respiratory effects even on healthy people</t>
  </si>
  <si>
    <t>Severe</t>
  </si>
  <si>
    <t>Concentration of Air Pollutants</t>
  </si>
  <si>
    <t>Sr.No.</t>
  </si>
  <si>
    <t>15-04-2019</t>
  </si>
  <si>
    <t>18-04-2019</t>
  </si>
  <si>
    <t>22-04-2019</t>
  </si>
  <si>
    <t>25-04-2019</t>
  </si>
  <si>
    <t>29-04-2019</t>
  </si>
  <si>
    <t>Ambient Air Quality Monitored at Mahadwar Road</t>
  </si>
  <si>
    <r>
      <t>Location :</t>
    </r>
    <r>
      <rPr>
        <sz val="11"/>
        <color rgb="FF0562A2"/>
        <rFont val="Calibri"/>
        <family val="2"/>
        <scheme val="minor"/>
      </rPr>
      <t> Near Mahalaxmi temple ,Kolhapur</t>
    </r>
  </si>
  <si>
    <r>
      <t>Type</t>
    </r>
    <r>
      <rPr>
        <sz val="11"/>
        <color rgb="FF0562A2"/>
        <rFont val="Calibri"/>
        <family val="2"/>
        <scheme val="minor"/>
      </rPr>
      <t> :Residential</t>
    </r>
  </si>
  <si>
    <t>16-04-2019</t>
  </si>
  <si>
    <t>19-04-2019</t>
  </si>
  <si>
    <t>23-04-2019</t>
  </si>
  <si>
    <t>26-04-2019</t>
  </si>
  <si>
    <t>30-04-2019</t>
  </si>
  <si>
    <t>bient Air Quality Monitored at Civil lines Nagpur</t>
  </si>
  <si>
    <r>
      <t>Location :</t>
    </r>
    <r>
      <rPr>
        <sz val="11"/>
        <color rgb="FF0562A2"/>
        <rFont val="Calibri"/>
        <family val="2"/>
        <scheme val="minor"/>
      </rPr>
      <t> RO Office Nagpur Premises</t>
    </r>
  </si>
  <si>
    <r>
      <t>Program Name :</t>
    </r>
    <r>
      <rPr>
        <sz val="11"/>
        <color rgb="FF0562A2"/>
        <rFont val="Calibri"/>
        <family val="2"/>
        <scheme val="minor"/>
      </rPr>
      <t> SAMP</t>
    </r>
  </si>
  <si>
    <r>
      <t>Frequency: </t>
    </r>
    <r>
      <rPr>
        <sz val="11"/>
        <color rgb="FF0562A2"/>
        <rFont val="Calibri"/>
        <family val="2"/>
        <scheme val="minor"/>
      </rPr>
      <t>Six days in a week</t>
    </r>
  </si>
  <si>
    <t>14-04-2019</t>
  </si>
  <si>
    <t>ir Quality Monitored at Civil lines Nagpur</t>
  </si>
  <si>
    <r>
      <t>Location :</t>
    </r>
    <r>
      <rPr>
        <sz val="11"/>
        <color rgb="FF0562A2"/>
        <rFont val="Arial"/>
        <family val="2"/>
      </rPr>
      <t> RO Office Nagpur Premises</t>
    </r>
  </si>
  <si>
    <r>
      <t>Type</t>
    </r>
    <r>
      <rPr>
        <sz val="11"/>
        <color rgb="FF0562A2"/>
        <rFont val="Arial"/>
        <family val="2"/>
      </rPr>
      <t> :Residential</t>
    </r>
  </si>
  <si>
    <r>
      <t>Program Name :</t>
    </r>
    <r>
      <rPr>
        <sz val="11"/>
        <color rgb="FF0562A2"/>
        <rFont val="Arial"/>
        <family val="2"/>
      </rPr>
      <t> SAMP</t>
    </r>
  </si>
  <si>
    <r>
      <t>Status: </t>
    </r>
    <r>
      <rPr>
        <sz val="11"/>
        <color rgb="FF0562A2"/>
        <rFont val="Arial"/>
        <family val="2"/>
      </rPr>
      <t>In operation</t>
    </r>
  </si>
  <si>
    <r>
      <t>Frequency: </t>
    </r>
    <r>
      <rPr>
        <sz val="11"/>
        <color rgb="FF0562A2"/>
        <rFont val="Arial"/>
        <family val="2"/>
      </rPr>
      <t>Six days in a week</t>
    </r>
  </si>
  <si>
    <r>
      <t>µg/m</t>
    </r>
    <r>
      <rPr>
        <b/>
        <sz val="7"/>
        <color rgb="FF404040"/>
        <rFont val="Arial"/>
        <family val="2"/>
      </rPr>
      <t>3</t>
    </r>
  </si>
  <si>
    <t>13-04-2020</t>
  </si>
  <si>
    <t>14-04-2020</t>
  </si>
  <si>
    <t>15-04-2020</t>
  </si>
  <si>
    <t>16-04-2020</t>
  </si>
  <si>
    <t>17-04-2020</t>
  </si>
  <si>
    <t>18-04-2020</t>
  </si>
  <si>
    <t>20-04-2020</t>
  </si>
  <si>
    <t>21-04-2020</t>
  </si>
  <si>
    <t>22-04-2020</t>
  </si>
  <si>
    <t>23-04-2020</t>
  </si>
  <si>
    <t>24-04-2020</t>
  </si>
  <si>
    <t>25-04-2020</t>
  </si>
  <si>
    <t>27-04-2020</t>
  </si>
  <si>
    <t>28-04-2020</t>
  </si>
  <si>
    <t>29-04-2020</t>
  </si>
  <si>
    <t>30-04-2020</t>
  </si>
  <si>
    <t>Nox</t>
  </si>
  <si>
    <t>APRIL 2019 Nagpur</t>
  </si>
  <si>
    <t>Reduction Percentage</t>
  </si>
  <si>
    <t>ent Air Quality Monitored at Civil lines Nagpur</t>
  </si>
  <si>
    <t>March</t>
  </si>
  <si>
    <t>13-03-2020</t>
  </si>
  <si>
    <t>14-03-2020</t>
  </si>
  <si>
    <t>15-03-2020</t>
  </si>
  <si>
    <t>16-03-2020</t>
  </si>
  <si>
    <t>17-03-2020</t>
  </si>
  <si>
    <t>18-03-2020</t>
  </si>
  <si>
    <t>19-03-2020</t>
  </si>
  <si>
    <t>20-03-2020</t>
  </si>
  <si>
    <t>21-03-2020</t>
  </si>
  <si>
    <t>23-03-2020</t>
  </si>
  <si>
    <t>27-03-2020</t>
  </si>
  <si>
    <t>28-03-2020</t>
  </si>
  <si>
    <t>30-03-2020</t>
  </si>
  <si>
    <t>31-03-2020</t>
  </si>
  <si>
    <t>APRIL 2020 Nagpur</t>
  </si>
  <si>
    <t>March 2020 Nagpur</t>
  </si>
  <si>
    <t>Sr No</t>
  </si>
  <si>
    <t>15/03/20</t>
  </si>
  <si>
    <t>19/03/20</t>
  </si>
  <si>
    <t>22/03/20</t>
  </si>
  <si>
    <t>13/03/20</t>
  </si>
  <si>
    <t>16/03/20</t>
  </si>
  <si>
    <t>20/03/20</t>
  </si>
  <si>
    <t>23/03/20</t>
  </si>
  <si>
    <t>14/03/20</t>
  </si>
  <si>
    <t>18/03/20</t>
  </si>
  <si>
    <t>21/03/20</t>
  </si>
  <si>
    <t>March 2020 UB</t>
  </si>
  <si>
    <t>March 2020 K</t>
  </si>
  <si>
    <t>March 2020 RC</t>
  </si>
  <si>
    <t>16/04/20</t>
  </si>
  <si>
    <t>19/04/20</t>
  </si>
  <si>
    <t>23/04/20</t>
  </si>
  <si>
    <t>26/04/20</t>
  </si>
  <si>
    <t>30/04/20</t>
  </si>
  <si>
    <t>April 2020 UB</t>
  </si>
  <si>
    <t>April 2020 K</t>
  </si>
  <si>
    <t>13/04/20</t>
  </si>
  <si>
    <t>17/04/20</t>
  </si>
  <si>
    <t>20/04/20</t>
  </si>
  <si>
    <t>24/04/20</t>
  </si>
  <si>
    <t>27/04/20</t>
  </si>
  <si>
    <t>15/04/20</t>
  </si>
  <si>
    <t>18/04/20</t>
  </si>
  <si>
    <t>22/04/20</t>
  </si>
  <si>
    <t>25/04/20</t>
  </si>
  <si>
    <t>29/04/20</t>
  </si>
  <si>
    <t>Average</t>
  </si>
  <si>
    <t>14/04/19</t>
  </si>
  <si>
    <t>18/04/19</t>
  </si>
  <si>
    <t>21/04/19</t>
  </si>
  <si>
    <t>25/04/19</t>
  </si>
  <si>
    <t>28/04/19</t>
  </si>
  <si>
    <t>April 2019 UB</t>
  </si>
  <si>
    <t>15/04/19</t>
  </si>
  <si>
    <t>19/04/19</t>
  </si>
  <si>
    <t>22/04/19</t>
  </si>
  <si>
    <t>26/04/19</t>
  </si>
  <si>
    <t>29/04/19</t>
  </si>
  <si>
    <t>April 2019 K</t>
  </si>
  <si>
    <t>13/04/19</t>
  </si>
  <si>
    <t>17/04/19</t>
  </si>
  <si>
    <t>20/04/19</t>
  </si>
  <si>
    <t>24/04/19</t>
  </si>
  <si>
    <t>27/04/19</t>
  </si>
  <si>
    <t>April 2020 RC</t>
  </si>
  <si>
    <t>April 2019 RC</t>
  </si>
  <si>
    <t>14/03/19</t>
  </si>
  <si>
    <t>17/03/19</t>
  </si>
  <si>
    <t>21/03/19</t>
  </si>
  <si>
    <t>24/03/19</t>
  </si>
  <si>
    <t>28/03/19</t>
  </si>
  <si>
    <t>31/03/19</t>
  </si>
  <si>
    <t>March 2019 UB</t>
  </si>
  <si>
    <t>15/03/19</t>
  </si>
  <si>
    <t>18/03/19</t>
  </si>
  <si>
    <t>22/03/19</t>
  </si>
  <si>
    <t>25/03/19</t>
  </si>
  <si>
    <t>29/03/19</t>
  </si>
  <si>
    <t>March 2019 K</t>
  </si>
  <si>
    <t>13/03/19</t>
  </si>
  <si>
    <t>16/03/19</t>
  </si>
  <si>
    <t>20/03/19</t>
  </si>
  <si>
    <t>23/03/19</t>
  </si>
  <si>
    <t>27/03/19</t>
  </si>
  <si>
    <t>30/03/19</t>
  </si>
  <si>
    <t>March 2019 RC</t>
  </si>
  <si>
    <t xml:space="preserve">% reduction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</si>
</sst>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;@"/>
  </numFmts>
  <fonts count="2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9.4"/>
      <color rgb="FF404040"/>
      <name val="Calibri"/>
      <family val="2"/>
      <scheme val="minor"/>
    </font>
    <font>
      <b/>
      <sz val="7"/>
      <color rgb="FF404040"/>
      <name val="Calibri"/>
      <family val="2"/>
      <scheme val="minor"/>
    </font>
    <font>
      <sz val="9.4"/>
      <color rgb="FF404040"/>
      <name val="Calibri"/>
      <family val="2"/>
      <scheme val="minor"/>
    </font>
    <font>
      <sz val="9.4"/>
      <color rgb="FF008000"/>
      <name val="Calibri"/>
      <family val="2"/>
      <scheme val="minor"/>
    </font>
    <font>
      <sz val="9.4"/>
      <color rgb="FFFF0000"/>
      <name val="Calibri"/>
      <family val="2"/>
      <scheme val="minor"/>
    </font>
    <font>
      <b/>
      <sz val="11"/>
      <color rgb="FF0562A2"/>
      <name val="Calibri"/>
      <family val="2"/>
      <scheme val="minor"/>
    </font>
    <font>
      <sz val="11"/>
      <color rgb="FF0562A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404040"/>
      <name val="Calibri"/>
      <family val="2"/>
      <scheme val="minor"/>
    </font>
    <font>
      <b/>
      <sz val="11"/>
      <color rgb="FF404040"/>
      <name val="Calibri"/>
      <family val="2"/>
      <scheme val="minor"/>
    </font>
    <font>
      <sz val="11"/>
      <color rgb="FF808080"/>
      <name val="Calibri"/>
      <family val="2"/>
      <scheme val="minor"/>
    </font>
    <font>
      <sz val="11"/>
      <color rgb="FF404040"/>
      <name val="Arial"/>
      <family val="2"/>
    </font>
    <font>
      <u/>
      <sz val="11"/>
      <color theme="10"/>
      <name val="Calibri"/>
      <family val="2"/>
      <scheme val="minor"/>
    </font>
    <font>
      <sz val="9.4"/>
      <color rgb="FF404040"/>
      <name val="Arial"/>
      <family val="2"/>
    </font>
    <font>
      <b/>
      <sz val="11"/>
      <color rgb="FF0562A2"/>
      <name val="Arial"/>
      <family val="2"/>
    </font>
    <font>
      <sz val="11"/>
      <color rgb="FF0562A2"/>
      <name val="Arial"/>
      <family val="2"/>
    </font>
    <font>
      <sz val="11"/>
      <color rgb="FF000000"/>
      <name val="Arial"/>
      <family val="2"/>
    </font>
    <font>
      <b/>
      <sz val="11"/>
      <color rgb="FF404040"/>
      <name val="Arial"/>
      <family val="2"/>
    </font>
    <font>
      <b/>
      <sz val="9.4"/>
      <color rgb="FF404040"/>
      <name val="Arial"/>
      <family val="2"/>
    </font>
    <font>
      <b/>
      <sz val="7"/>
      <color rgb="FF404040"/>
      <name val="Arial"/>
      <family val="2"/>
    </font>
    <font>
      <sz val="9.4"/>
      <color rgb="FF008000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5F9EA0"/>
        <bgColor indexed="64"/>
      </patternFill>
    </fill>
    <fill>
      <patternFill patternType="solid">
        <fgColor rgb="FFE6E6FA"/>
        <bgColor indexed="64"/>
      </patternFill>
    </fill>
    <fill>
      <patternFill patternType="solid">
        <fgColor rgb="FF6AD067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0EB40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F8B06"/>
        <bgColor indexed="64"/>
      </patternFill>
    </fill>
    <fill>
      <patternFill patternType="solid">
        <fgColor rgb="FFF41212"/>
        <bgColor indexed="64"/>
      </patternFill>
    </fill>
    <fill>
      <patternFill patternType="solid">
        <fgColor rgb="FFB60E0E"/>
        <bgColor indexed="64"/>
      </patternFill>
    </fill>
    <fill>
      <patternFill patternType="solid">
        <fgColor rgb="FFFFFFFF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D5D5D5"/>
      </left>
      <right style="medium">
        <color rgb="FFD5D5D5"/>
      </right>
      <top style="medium">
        <color rgb="FFDEE2E6"/>
      </top>
      <bottom style="medium">
        <color rgb="FFD5D5D5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/>
      <right style="medium">
        <color rgb="FFD5D5D5"/>
      </right>
      <top style="medium">
        <color rgb="FFDEE2E6"/>
      </top>
      <bottom/>
      <diagonal/>
    </border>
    <border>
      <left style="medium">
        <color rgb="FFD5D5D5"/>
      </left>
      <right/>
      <top/>
      <bottom style="medium">
        <color rgb="FFD5D5D5"/>
      </bottom>
      <diagonal/>
    </border>
    <border>
      <left/>
      <right/>
      <top/>
      <bottom style="medium">
        <color rgb="FFD5D5D5"/>
      </bottom>
      <diagonal/>
    </border>
    <border>
      <left/>
      <right style="medium">
        <color rgb="FFD5D5D5"/>
      </right>
      <top/>
      <bottom style="medium">
        <color rgb="FFD5D5D5"/>
      </bottom>
      <diagonal/>
    </border>
    <border>
      <left style="medium">
        <color rgb="FFD5D5D5"/>
      </left>
      <right/>
      <top style="medium">
        <color rgb="FFDEE2E6"/>
      </top>
      <bottom style="medium">
        <color rgb="FFD5D5D5"/>
      </bottom>
      <diagonal/>
    </border>
    <border>
      <left/>
      <right style="medium">
        <color rgb="FFD5D5D5"/>
      </right>
      <top style="medium">
        <color rgb="FFDEE2E6"/>
      </top>
      <bottom style="medium">
        <color rgb="FFD5D5D5"/>
      </bottom>
      <diagonal/>
    </border>
    <border>
      <left/>
      <right/>
      <top style="medium">
        <color rgb="FFDEE2E6"/>
      </top>
      <bottom style="medium">
        <color rgb="FFD5D5D5"/>
      </bottom>
      <diagonal/>
    </border>
    <border>
      <left style="medium">
        <color rgb="FFD5D5D5"/>
      </left>
      <right style="medium">
        <color rgb="FFD5D5D5"/>
      </right>
      <top style="medium">
        <color rgb="FFD5D5D5"/>
      </top>
      <bottom style="medium">
        <color rgb="FFD5D5D5"/>
      </bottom>
      <diagonal/>
    </border>
    <border>
      <left style="medium">
        <color rgb="FFD5D5D5"/>
      </left>
      <right style="medium">
        <color rgb="FFD5D5D5"/>
      </right>
      <top style="medium">
        <color rgb="FFD5D5D5"/>
      </top>
      <bottom/>
      <diagonal/>
    </border>
    <border>
      <left style="medium">
        <color rgb="FFD5D5D5"/>
      </left>
      <right/>
      <top style="medium">
        <color rgb="FFD5D5D5"/>
      </top>
      <bottom/>
      <diagonal/>
    </border>
    <border>
      <left/>
      <right/>
      <top style="medium">
        <color rgb="FFD5D5D5"/>
      </top>
      <bottom/>
      <diagonal/>
    </border>
    <border>
      <left/>
      <right style="medium">
        <color rgb="FFD5D5D5"/>
      </right>
      <top style="medium">
        <color rgb="FFD5D5D5"/>
      </top>
      <bottom/>
      <diagonal/>
    </border>
    <border>
      <left/>
      <right style="medium">
        <color rgb="FFD5D5D5"/>
      </right>
      <top/>
      <bottom/>
      <diagonal/>
    </border>
    <border>
      <left style="medium">
        <color rgb="FFD5D5D5"/>
      </left>
      <right/>
      <top style="medium">
        <color rgb="FFD5D5D5"/>
      </top>
      <bottom style="medium">
        <color rgb="FFD5D5D5"/>
      </bottom>
      <diagonal/>
    </border>
    <border>
      <left/>
      <right style="medium">
        <color rgb="FFD5D5D5"/>
      </right>
      <top style="medium">
        <color rgb="FFD5D5D5"/>
      </top>
      <bottom style="medium">
        <color rgb="FFD5D5D5"/>
      </bottom>
      <diagonal/>
    </border>
    <border>
      <left/>
      <right/>
      <top style="medium">
        <color rgb="FFD5D5D5"/>
      </top>
      <bottom style="medium">
        <color rgb="FFD5D5D5"/>
      </bottom>
      <diagonal/>
    </border>
    <border>
      <left style="medium">
        <color rgb="FFD5D5D5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248">
    <xf numFmtId="0" fontId="0" fillId="0" borderId="0" xfId="0"/>
    <xf numFmtId="0" fontId="3" fillId="0" borderId="1" xfId="0" applyFont="1" applyBorder="1" applyAlignment="1">
      <alignment horizontal="center"/>
    </xf>
    <xf numFmtId="0" fontId="0" fillId="0" borderId="14" xfId="0" applyBorder="1"/>
    <xf numFmtId="0" fontId="0" fillId="0" borderId="16" xfId="0" applyBorder="1"/>
    <xf numFmtId="0" fontId="0" fillId="0" borderId="17" xfId="0" applyBorder="1"/>
    <xf numFmtId="0" fontId="5" fillId="0" borderId="12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14" fontId="7" fillId="0" borderId="12" xfId="0" applyNumberFormat="1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5" fillId="3" borderId="12" xfId="0" applyFont="1" applyFill="1" applyBorder="1" applyAlignment="1">
      <alignment horizontal="left" vertical="top" wrapText="1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30" xfId="0" applyFont="1" applyBorder="1" applyAlignment="1">
      <alignment horizontal="left" vertical="center" wrapText="1"/>
    </xf>
    <xf numFmtId="0" fontId="12" fillId="0" borderId="26" xfId="0" applyFont="1" applyBorder="1" applyAlignment="1">
      <alignment horizontal="left" vertical="center" wrapText="1"/>
    </xf>
    <xf numFmtId="0" fontId="13" fillId="0" borderId="12" xfId="0" applyFont="1" applyBorder="1" applyAlignment="1">
      <alignment horizontal="left" vertical="center" wrapText="1"/>
    </xf>
    <xf numFmtId="0" fontId="13" fillId="6" borderId="12" xfId="0" applyFont="1" applyFill="1" applyBorder="1" applyAlignment="1">
      <alignment horizontal="left" vertical="top" wrapText="1"/>
    </xf>
    <xf numFmtId="0" fontId="13" fillId="4" borderId="12" xfId="0" applyFont="1" applyFill="1" applyBorder="1" applyAlignment="1">
      <alignment horizontal="left" vertical="top" wrapText="1"/>
    </xf>
    <xf numFmtId="0" fontId="13" fillId="7" borderId="12" xfId="0" applyFont="1" applyFill="1" applyBorder="1" applyAlignment="1">
      <alignment horizontal="left" vertical="top" wrapText="1"/>
    </xf>
    <xf numFmtId="0" fontId="13" fillId="8" borderId="12" xfId="0" applyFont="1" applyFill="1" applyBorder="1" applyAlignment="1">
      <alignment horizontal="left" vertical="top" wrapText="1"/>
    </xf>
    <xf numFmtId="0" fontId="13" fillId="9" borderId="12" xfId="0" applyFont="1" applyFill="1" applyBorder="1" applyAlignment="1">
      <alignment horizontal="left" vertical="top" wrapText="1"/>
    </xf>
    <xf numFmtId="0" fontId="13" fillId="10" borderId="12" xfId="0" applyFont="1" applyFill="1" applyBorder="1" applyAlignment="1">
      <alignment horizontal="left" vertical="top" wrapText="1"/>
    </xf>
    <xf numFmtId="0" fontId="14" fillId="5" borderId="21" xfId="0" applyFont="1" applyFill="1" applyBorder="1" applyAlignment="1">
      <alignment horizontal="left" vertical="top" wrapText="1"/>
    </xf>
    <xf numFmtId="0" fontId="15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 indent="2"/>
    </xf>
    <xf numFmtId="0" fontId="17" fillId="0" borderId="0" xfId="1" applyAlignment="1">
      <alignment horizontal="left" vertical="center" wrapText="1" indent="2"/>
    </xf>
    <xf numFmtId="0" fontId="0" fillId="11" borderId="0" xfId="0" applyFill="1"/>
    <xf numFmtId="0" fontId="7" fillId="11" borderId="21" xfId="0" applyFont="1" applyFill="1" applyBorder="1" applyAlignment="1">
      <alignment horizontal="left" vertical="top" wrapText="1"/>
    </xf>
    <xf numFmtId="0" fontId="16" fillId="11" borderId="0" xfId="0" applyFont="1" applyFill="1" applyAlignment="1">
      <alignment horizontal="left" vertical="center" wrapText="1"/>
    </xf>
    <xf numFmtId="0" fontId="20" fillId="11" borderId="0" xfId="0" applyFont="1" applyFill="1" applyAlignment="1">
      <alignment horizontal="left" vertical="center" wrapText="1"/>
    </xf>
    <xf numFmtId="0" fontId="0" fillId="11" borderId="24" xfId="0" applyFill="1" applyBorder="1"/>
    <xf numFmtId="0" fontId="0" fillId="11" borderId="25" xfId="0" applyFill="1" applyBorder="1"/>
    <xf numFmtId="0" fontId="21" fillId="11" borderId="30" xfId="0" applyFont="1" applyFill="1" applyBorder="1" applyAlignment="1">
      <alignment horizontal="left" vertical="center" wrapText="1"/>
    </xf>
    <xf numFmtId="0" fontId="21" fillId="11" borderId="26" xfId="0" applyFont="1" applyFill="1" applyBorder="1" applyAlignment="1">
      <alignment horizontal="left" vertical="center" wrapText="1"/>
    </xf>
    <xf numFmtId="0" fontId="16" fillId="11" borderId="12" xfId="0" applyFont="1" applyFill="1" applyBorder="1" applyAlignment="1">
      <alignment horizontal="left" vertical="center" wrapText="1"/>
    </xf>
    <xf numFmtId="0" fontId="16" fillId="6" borderId="12" xfId="0" applyFont="1" applyFill="1" applyBorder="1" applyAlignment="1">
      <alignment horizontal="left" vertical="top" wrapText="1"/>
    </xf>
    <xf numFmtId="0" fontId="16" fillId="4" borderId="12" xfId="0" applyFont="1" applyFill="1" applyBorder="1" applyAlignment="1">
      <alignment horizontal="left" vertical="top" wrapText="1"/>
    </xf>
    <xf numFmtId="0" fontId="16" fillId="7" borderId="12" xfId="0" applyFont="1" applyFill="1" applyBorder="1" applyAlignment="1">
      <alignment horizontal="left" vertical="top" wrapText="1"/>
    </xf>
    <xf numFmtId="0" fontId="16" fillId="8" borderId="12" xfId="0" applyFont="1" applyFill="1" applyBorder="1" applyAlignment="1">
      <alignment horizontal="left" vertical="top" wrapText="1"/>
    </xf>
    <xf numFmtId="0" fontId="16" fillId="9" borderId="12" xfId="0" applyFont="1" applyFill="1" applyBorder="1" applyAlignment="1">
      <alignment horizontal="left" vertical="top" wrapText="1"/>
    </xf>
    <xf numFmtId="0" fontId="16" fillId="10" borderId="12" xfId="0" applyFont="1" applyFill="1" applyBorder="1" applyAlignment="1">
      <alignment horizontal="left" vertical="top" wrapText="1"/>
    </xf>
    <xf numFmtId="0" fontId="22" fillId="5" borderId="21" xfId="0" applyFont="1" applyFill="1" applyBorder="1" applyAlignment="1">
      <alignment horizontal="left" vertical="top" wrapText="1"/>
    </xf>
    <xf numFmtId="0" fontId="0" fillId="11" borderId="14" xfId="0" applyFill="1" applyBorder="1"/>
    <xf numFmtId="0" fontId="23" fillId="11" borderId="12" xfId="0" applyFont="1" applyFill="1" applyBorder="1" applyAlignment="1">
      <alignment horizontal="left" vertical="top" wrapText="1"/>
    </xf>
    <xf numFmtId="0" fontId="18" fillId="11" borderId="12" xfId="0" applyFont="1" applyFill="1" applyBorder="1" applyAlignment="1">
      <alignment horizontal="left" vertical="top" wrapText="1"/>
    </xf>
    <xf numFmtId="14" fontId="18" fillId="11" borderId="12" xfId="0" applyNumberFormat="1" applyFont="1" applyFill="1" applyBorder="1" applyAlignment="1">
      <alignment horizontal="left" vertical="top" wrapText="1"/>
    </xf>
    <xf numFmtId="0" fontId="0" fillId="11" borderId="26" xfId="0" applyFill="1" applyBorder="1"/>
    <xf numFmtId="0" fontId="0" fillId="0" borderId="31" xfId="0" applyBorder="1"/>
    <xf numFmtId="0" fontId="0" fillId="0" borderId="0" xfId="0" applyBorder="1"/>
    <xf numFmtId="0" fontId="0" fillId="0" borderId="8" xfId="0" applyBorder="1"/>
    <xf numFmtId="0" fontId="0" fillId="0" borderId="33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4" fontId="7" fillId="0" borderId="13" xfId="0" applyNumberFormat="1" applyFont="1" applyBorder="1" applyAlignment="1">
      <alignment horizontal="left" vertical="top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9" xfId="0" applyBorder="1" applyAlignment="1">
      <alignment horizontal="center"/>
    </xf>
    <xf numFmtId="14" fontId="18" fillId="11" borderId="12" xfId="0" applyNumberFormat="1" applyFont="1" applyFill="1" applyBorder="1" applyAlignment="1">
      <alignment horizontal="center" vertical="top" wrapText="1"/>
    </xf>
    <xf numFmtId="0" fontId="0" fillId="0" borderId="2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8" xfId="0" applyBorder="1" applyAlignment="1">
      <alignment horizontal="center"/>
    </xf>
    <xf numFmtId="14" fontId="18" fillId="11" borderId="13" xfId="0" applyNumberFormat="1" applyFont="1" applyFill="1" applyBorder="1" applyAlignment="1">
      <alignment horizontal="center" vertical="top" wrapText="1"/>
    </xf>
    <xf numFmtId="1" fontId="0" fillId="0" borderId="0" xfId="0" applyNumberFormat="1"/>
    <xf numFmtId="1" fontId="0" fillId="0" borderId="0" xfId="0" applyNumberFormat="1" applyAlignment="1">
      <alignment horizontal="center"/>
    </xf>
    <xf numFmtId="1" fontId="0" fillId="0" borderId="31" xfId="0" applyNumberForma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1" fontId="0" fillId="0" borderId="32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33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37" xfId="0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38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27" fillId="0" borderId="2" xfId="0" applyNumberFormat="1" applyFont="1" applyFill="1" applyBorder="1" applyAlignment="1">
      <alignment horizontal="center"/>
    </xf>
    <xf numFmtId="164" fontId="27" fillId="0" borderId="1" xfId="0" applyNumberFormat="1" applyFont="1" applyBorder="1" applyAlignment="1">
      <alignment horizontal="center"/>
    </xf>
    <xf numFmtId="1" fontId="4" fillId="0" borderId="1" xfId="0" applyNumberFormat="1" applyFont="1" applyFill="1" applyBorder="1" applyAlignment="1">
      <alignment horizontal="center"/>
    </xf>
    <xf numFmtId="1" fontId="27" fillId="0" borderId="31" xfId="0" applyNumberFormat="1" applyFont="1" applyFill="1" applyBorder="1" applyAlignment="1">
      <alignment horizontal="center"/>
    </xf>
    <xf numFmtId="164" fontId="27" fillId="0" borderId="38" xfId="0" applyNumberFormat="1" applyFont="1" applyBorder="1" applyAlignment="1">
      <alignment horizontal="center"/>
    </xf>
    <xf numFmtId="1" fontId="4" fillId="0" borderId="38" xfId="0" applyNumberFormat="1" applyFont="1" applyFill="1" applyBorder="1" applyAlignment="1">
      <alignment horizontal="center"/>
    </xf>
    <xf numFmtId="1" fontId="4" fillId="0" borderId="38" xfId="0" applyNumberFormat="1" applyFont="1" applyBorder="1" applyAlignment="1">
      <alignment horizontal="center"/>
    </xf>
    <xf numFmtId="164" fontId="27" fillId="0" borderId="7" xfId="0" applyNumberFormat="1" applyFont="1" applyBorder="1" applyAlignment="1">
      <alignment horizontal="center"/>
    </xf>
    <xf numFmtId="1" fontId="4" fillId="0" borderId="7" xfId="0" applyNumberFormat="1" applyFont="1" applyFill="1" applyBorder="1" applyAlignment="1">
      <alignment horizontal="center"/>
    </xf>
    <xf numFmtId="1" fontId="4" fillId="0" borderId="7" xfId="0" applyNumberFormat="1" applyFont="1" applyBorder="1" applyAlignment="1">
      <alignment horizontal="center"/>
    </xf>
    <xf numFmtId="1" fontId="27" fillId="0" borderId="0" xfId="0" applyNumberFormat="1" applyFont="1" applyFill="1" applyBorder="1" applyAlignment="1">
      <alignment horizontal="center"/>
    </xf>
    <xf numFmtId="1" fontId="4" fillId="0" borderId="0" xfId="0" applyNumberFormat="1" applyFont="1" applyFill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1" fontId="4" fillId="0" borderId="2" xfId="0" applyNumberFormat="1" applyFont="1" applyFill="1" applyBorder="1" applyAlignment="1">
      <alignment horizontal="center"/>
    </xf>
    <xf numFmtId="1" fontId="4" fillId="0" borderId="32" xfId="0" applyNumberFormat="1" applyFont="1" applyFill="1" applyBorder="1" applyAlignment="1">
      <alignment horizontal="center"/>
    </xf>
    <xf numFmtId="1" fontId="4" fillId="0" borderId="31" xfId="0" applyNumberFormat="1" applyFont="1" applyFill="1" applyBorder="1" applyAlignment="1">
      <alignment horizontal="center"/>
    </xf>
    <xf numFmtId="1" fontId="4" fillId="0" borderId="9" xfId="0" applyNumberFormat="1" applyFont="1" applyFill="1" applyBorder="1" applyAlignment="1">
      <alignment horizontal="center"/>
    </xf>
    <xf numFmtId="0" fontId="3" fillId="0" borderId="38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1" fontId="4" fillId="0" borderId="31" xfId="0" applyNumberFormat="1" applyFont="1" applyBorder="1" applyAlignment="1">
      <alignment horizontal="center"/>
    </xf>
    <xf numFmtId="164" fontId="27" fillId="0" borderId="0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0" borderId="10" xfId="0" applyNumberFormat="1" applyFont="1" applyBorder="1" applyAlignment="1">
      <alignment horizontal="center"/>
    </xf>
    <xf numFmtId="1" fontId="4" fillId="0" borderId="8" xfId="0" applyNumberFormat="1" applyFont="1" applyBorder="1" applyAlignment="1">
      <alignment horizontal="center"/>
    </xf>
    <xf numFmtId="1" fontId="4" fillId="0" borderId="33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0" borderId="38" xfId="0" applyBorder="1" applyAlignment="1">
      <alignment horizontal="center"/>
    </xf>
    <xf numFmtId="164" fontId="4" fillId="0" borderId="38" xfId="0" applyNumberFormat="1" applyFont="1" applyBorder="1" applyAlignment="1">
      <alignment horizontal="center"/>
    </xf>
    <xf numFmtId="1" fontId="4" fillId="0" borderId="32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164" fontId="4" fillId="0" borderId="7" xfId="0" applyNumberFormat="1" applyFont="1" applyBorder="1" applyAlignment="1">
      <alignment horizontal="center"/>
    </xf>
    <xf numFmtId="1" fontId="4" fillId="0" borderId="9" xfId="0" applyNumberFormat="1" applyFont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1" fontId="27" fillId="0" borderId="8" xfId="0" applyNumberFormat="1" applyFont="1" applyFill="1" applyBorder="1" applyAlignment="1">
      <alignment horizontal="center"/>
    </xf>
    <xf numFmtId="0" fontId="26" fillId="0" borderId="2" xfId="0" applyFont="1" applyBorder="1" applyAlignment="1">
      <alignment horizontal="center" wrapText="1"/>
    </xf>
    <xf numFmtId="0" fontId="26" fillId="0" borderId="8" xfId="0" applyFont="1" applyBorder="1" applyAlignment="1">
      <alignment horizontal="center" wrapText="1"/>
    </xf>
    <xf numFmtId="0" fontId="0" fillId="0" borderId="41" xfId="0" applyBorder="1" applyAlignment="1">
      <alignment horizontal="center"/>
    </xf>
    <xf numFmtId="164" fontId="27" fillId="0" borderId="3" xfId="0" applyNumberFormat="1" applyFont="1" applyBorder="1" applyAlignment="1">
      <alignment horizontal="center"/>
    </xf>
    <xf numFmtId="164" fontId="27" fillId="0" borderId="32" xfId="0" applyNumberFormat="1" applyFont="1" applyBorder="1" applyAlignment="1">
      <alignment horizontal="center"/>
    </xf>
    <xf numFmtId="164" fontId="27" fillId="0" borderId="9" xfId="0" applyNumberFormat="1" applyFon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26" fillId="0" borderId="31" xfId="0" applyFont="1" applyBorder="1" applyAlignment="1">
      <alignment horizontal="center" wrapText="1"/>
    </xf>
    <xf numFmtId="0" fontId="0" fillId="0" borderId="11" xfId="0" applyBorder="1" applyAlignment="1">
      <alignment horizontal="center"/>
    </xf>
    <xf numFmtId="1" fontId="0" fillId="0" borderId="3" xfId="0" applyNumberFormat="1" applyBorder="1" applyAlignment="1">
      <alignment horizontal="center"/>
    </xf>
    <xf numFmtId="1" fontId="0" fillId="0" borderId="31" xfId="0" applyNumberFormat="1" applyFill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164" fontId="27" fillId="0" borderId="10" xfId="0" applyNumberFormat="1" applyFont="1" applyBorder="1" applyAlignment="1">
      <alignment horizontal="center"/>
    </xf>
    <xf numFmtId="164" fontId="27" fillId="0" borderId="33" xfId="0" applyNumberFormat="1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6" fillId="0" borderId="2" xfId="0" applyFont="1" applyBorder="1" applyAlignment="1">
      <alignment horizontal="center" wrapText="1"/>
    </xf>
    <xf numFmtId="0" fontId="26" fillId="0" borderId="8" xfId="0" applyFont="1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" fontId="4" fillId="0" borderId="3" xfId="0" applyNumberFormat="1" applyFont="1" applyFill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5" fillId="3" borderId="27" xfId="0" applyFont="1" applyFill="1" applyBorder="1" applyAlignment="1">
      <alignment horizontal="left" vertical="top" wrapText="1"/>
    </xf>
    <xf numFmtId="0" fontId="5" fillId="3" borderId="29" xfId="0" applyFont="1" applyFill="1" applyBorder="1" applyAlignment="1">
      <alignment horizontal="left" vertical="top" wrapText="1"/>
    </xf>
    <xf numFmtId="0" fontId="5" fillId="3" borderId="28" xfId="0" applyFont="1" applyFill="1" applyBorder="1" applyAlignment="1">
      <alignment horizontal="left" vertical="top" wrapText="1"/>
    </xf>
    <xf numFmtId="0" fontId="8" fillId="0" borderId="27" xfId="0" applyFont="1" applyBorder="1" applyAlignment="1">
      <alignment horizontal="left" vertical="top" wrapText="1"/>
    </xf>
    <xf numFmtId="0" fontId="8" fillId="0" borderId="29" xfId="0" applyFont="1" applyBorder="1" applyAlignment="1">
      <alignment horizontal="left" vertical="top" wrapText="1"/>
    </xf>
    <xf numFmtId="0" fontId="8" fillId="0" borderId="28" xfId="0" applyFont="1" applyBorder="1" applyAlignment="1">
      <alignment horizontal="left" vertical="top" wrapText="1"/>
    </xf>
    <xf numFmtId="0" fontId="9" fillId="0" borderId="27" xfId="0" applyFont="1" applyBorder="1" applyAlignment="1">
      <alignment horizontal="left" vertical="top" wrapText="1"/>
    </xf>
    <xf numFmtId="0" fontId="9" fillId="0" borderId="29" xfId="0" applyFont="1" applyBorder="1" applyAlignment="1">
      <alignment horizontal="left" vertical="top" wrapText="1"/>
    </xf>
    <xf numFmtId="0" fontId="9" fillId="0" borderId="28" xfId="0" applyFont="1" applyBorder="1" applyAlignment="1">
      <alignment horizontal="left" vertical="top" wrapText="1"/>
    </xf>
    <xf numFmtId="0" fontId="5" fillId="4" borderId="15" xfId="0" applyFont="1" applyFill="1" applyBorder="1" applyAlignment="1">
      <alignment horizontal="left" vertical="top" wrapText="1"/>
    </xf>
    <xf numFmtId="0" fontId="5" fillId="4" borderId="16" xfId="0" applyFont="1" applyFill="1" applyBorder="1" applyAlignment="1">
      <alignment horizontal="left" vertical="top" wrapText="1"/>
    </xf>
    <xf numFmtId="0" fontId="5" fillId="4" borderId="17" xfId="0" applyFont="1" applyFill="1" applyBorder="1" applyAlignment="1">
      <alignment horizontal="left" vertical="top" wrapText="1"/>
    </xf>
    <xf numFmtId="0" fontId="5" fillId="2" borderId="23" xfId="0" applyFont="1" applyFill="1" applyBorder="1" applyAlignment="1">
      <alignment horizontal="left" vertical="top" wrapText="1"/>
    </xf>
    <xf numFmtId="0" fontId="5" fillId="2" borderId="24" xfId="0" applyFont="1" applyFill="1" applyBorder="1" applyAlignment="1">
      <alignment horizontal="left" vertical="top" wrapText="1"/>
    </xf>
    <xf numFmtId="0" fontId="5" fillId="2" borderId="25" xfId="0" applyFont="1" applyFill="1" applyBorder="1" applyAlignment="1">
      <alignment horizontal="left" vertical="top" wrapText="1"/>
    </xf>
    <xf numFmtId="0" fontId="5" fillId="2" borderId="15" xfId="0" applyFont="1" applyFill="1" applyBorder="1" applyAlignment="1">
      <alignment horizontal="left" vertical="top" wrapText="1"/>
    </xf>
    <xf numFmtId="0" fontId="5" fillId="2" borderId="16" xfId="0" applyFont="1" applyFill="1" applyBorder="1" applyAlignment="1">
      <alignment horizontal="left" vertical="top" wrapText="1"/>
    </xf>
    <xf numFmtId="0" fontId="5" fillId="2" borderId="17" xfId="0" applyFont="1" applyFill="1" applyBorder="1" applyAlignment="1">
      <alignment horizontal="left" vertical="top" wrapText="1"/>
    </xf>
    <xf numFmtId="0" fontId="5" fillId="2" borderId="22" xfId="0" applyFont="1" applyFill="1" applyBorder="1" applyAlignment="1">
      <alignment horizontal="left" vertical="top" wrapText="1"/>
    </xf>
    <xf numFmtId="0" fontId="5" fillId="2" borderId="13" xfId="0" applyFont="1" applyFill="1" applyBorder="1" applyAlignment="1">
      <alignment horizontal="left" vertical="top" wrapText="1"/>
    </xf>
    <xf numFmtId="0" fontId="7" fillId="0" borderId="27" xfId="0" applyFont="1" applyBorder="1" applyAlignment="1">
      <alignment horizontal="left" vertical="top" wrapText="1"/>
    </xf>
    <xf numFmtId="0" fontId="7" fillId="0" borderId="29" xfId="0" applyFont="1" applyBorder="1" applyAlignment="1">
      <alignment horizontal="left" vertical="top" wrapText="1"/>
    </xf>
    <xf numFmtId="0" fontId="7" fillId="0" borderId="28" xfId="0" applyFont="1" applyBorder="1" applyAlignment="1">
      <alignment horizontal="left" vertical="top" wrapText="1"/>
    </xf>
    <xf numFmtId="0" fontId="5" fillId="4" borderId="27" xfId="0" applyFont="1" applyFill="1" applyBorder="1" applyAlignment="1">
      <alignment horizontal="left" vertical="top" wrapText="1"/>
    </xf>
    <xf numFmtId="0" fontId="5" fillId="4" borderId="29" xfId="0" applyFont="1" applyFill="1" applyBorder="1" applyAlignment="1">
      <alignment horizontal="left" vertical="top" wrapText="1"/>
    </xf>
    <xf numFmtId="0" fontId="5" fillId="4" borderId="28" xfId="0" applyFont="1" applyFill="1" applyBorder="1" applyAlignment="1">
      <alignment horizontal="left" vertical="top" wrapText="1"/>
    </xf>
    <xf numFmtId="0" fontId="5" fillId="0" borderId="2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10" fillId="0" borderId="23" xfId="0" applyFont="1" applyBorder="1" applyAlignment="1">
      <alignment horizontal="left" vertical="center" wrapText="1"/>
    </xf>
    <xf numFmtId="0" fontId="10" fillId="0" borderId="24" xfId="0" applyFont="1" applyBorder="1" applyAlignment="1">
      <alignment horizontal="left" vertical="center" wrapText="1"/>
    </xf>
    <xf numFmtId="0" fontId="10" fillId="0" borderId="25" xfId="0" applyFont="1" applyBorder="1" applyAlignment="1">
      <alignment horizontal="left" vertical="center" wrapText="1"/>
    </xf>
    <xf numFmtId="0" fontId="12" fillId="0" borderId="15" xfId="0" applyFont="1" applyBorder="1" applyAlignment="1">
      <alignment horizontal="left" vertical="center" wrapText="1"/>
    </xf>
    <xf numFmtId="0" fontId="12" fillId="0" borderId="16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center" wrapText="1"/>
    </xf>
    <xf numFmtId="0" fontId="0" fillId="0" borderId="16" xfId="0" applyBorder="1" applyAlignment="1">
      <alignment horizontal="left" vertical="center"/>
    </xf>
    <xf numFmtId="0" fontId="0" fillId="0" borderId="16" xfId="0" applyBorder="1"/>
    <xf numFmtId="0" fontId="5" fillId="7" borderId="15" xfId="0" applyFont="1" applyFill="1" applyBorder="1" applyAlignment="1">
      <alignment horizontal="left" vertical="top" wrapText="1"/>
    </xf>
    <xf numFmtId="0" fontId="5" fillId="7" borderId="16" xfId="0" applyFont="1" applyFill="1" applyBorder="1" applyAlignment="1">
      <alignment horizontal="left" vertical="top" wrapText="1"/>
    </xf>
    <xf numFmtId="0" fontId="5" fillId="7" borderId="17" xfId="0" applyFont="1" applyFill="1" applyBorder="1" applyAlignment="1">
      <alignment horizontal="left" vertical="top" wrapText="1"/>
    </xf>
    <xf numFmtId="0" fontId="5" fillId="7" borderId="27" xfId="0" applyFont="1" applyFill="1" applyBorder="1" applyAlignment="1">
      <alignment horizontal="left" vertical="top" wrapText="1"/>
    </xf>
    <xf numFmtId="0" fontId="5" fillId="7" borderId="29" xfId="0" applyFont="1" applyFill="1" applyBorder="1" applyAlignment="1">
      <alignment horizontal="left" vertical="top" wrapText="1"/>
    </xf>
    <xf numFmtId="0" fontId="5" fillId="7" borderId="28" xfId="0" applyFont="1" applyFill="1" applyBorder="1" applyAlignment="1">
      <alignment horizontal="left" vertical="top" wrapText="1"/>
    </xf>
    <xf numFmtId="0" fontId="25" fillId="11" borderId="27" xfId="0" applyFont="1" applyFill="1" applyBorder="1" applyAlignment="1">
      <alignment horizontal="left" vertical="top" wrapText="1"/>
    </xf>
    <xf numFmtId="0" fontId="25" fillId="11" borderId="29" xfId="0" applyFont="1" applyFill="1" applyBorder="1" applyAlignment="1">
      <alignment horizontal="left" vertical="top" wrapText="1"/>
    </xf>
    <xf numFmtId="0" fontId="25" fillId="11" borderId="28" xfId="0" applyFont="1" applyFill="1" applyBorder="1" applyAlignment="1">
      <alignment horizontal="left" vertical="top" wrapText="1"/>
    </xf>
    <xf numFmtId="0" fontId="23" fillId="2" borderId="15" xfId="0" applyFont="1" applyFill="1" applyBorder="1" applyAlignment="1">
      <alignment horizontal="left" vertical="top" wrapText="1"/>
    </xf>
    <xf numFmtId="0" fontId="23" fillId="2" borderId="16" xfId="0" applyFont="1" applyFill="1" applyBorder="1" applyAlignment="1">
      <alignment horizontal="left" vertical="top" wrapText="1"/>
    </xf>
    <xf numFmtId="0" fontId="23" fillId="2" borderId="17" xfId="0" applyFont="1" applyFill="1" applyBorder="1" applyAlignment="1">
      <alignment horizontal="left" vertical="top" wrapText="1"/>
    </xf>
    <xf numFmtId="0" fontId="23" fillId="2" borderId="23" xfId="0" applyFont="1" applyFill="1" applyBorder="1" applyAlignment="1">
      <alignment horizontal="left" vertical="top" wrapText="1"/>
    </xf>
    <xf numFmtId="0" fontId="23" fillId="2" borderId="24" xfId="0" applyFont="1" applyFill="1" applyBorder="1" applyAlignment="1">
      <alignment horizontal="left" vertical="top" wrapText="1"/>
    </xf>
    <xf numFmtId="0" fontId="23" fillId="2" borderId="25" xfId="0" applyFont="1" applyFill="1" applyBorder="1" applyAlignment="1">
      <alignment horizontal="left" vertical="top" wrapText="1"/>
    </xf>
    <xf numFmtId="0" fontId="23" fillId="2" borderId="22" xfId="0" applyFont="1" applyFill="1" applyBorder="1" applyAlignment="1">
      <alignment horizontal="left" vertical="top" wrapText="1"/>
    </xf>
    <xf numFmtId="0" fontId="23" fillId="2" borderId="13" xfId="0" applyFont="1" applyFill="1" applyBorder="1" applyAlignment="1">
      <alignment horizontal="left" vertical="top" wrapText="1"/>
    </xf>
    <xf numFmtId="0" fontId="19" fillId="11" borderId="23" xfId="0" applyFont="1" applyFill="1" applyBorder="1" applyAlignment="1">
      <alignment horizontal="left" vertical="center" wrapText="1"/>
    </xf>
    <xf numFmtId="0" fontId="19" fillId="11" borderId="24" xfId="0" applyFont="1" applyFill="1" applyBorder="1" applyAlignment="1">
      <alignment horizontal="left" vertical="center" wrapText="1"/>
    </xf>
    <xf numFmtId="0" fontId="19" fillId="11" borderId="25" xfId="0" applyFont="1" applyFill="1" applyBorder="1" applyAlignment="1">
      <alignment horizontal="left" vertical="center" wrapText="1"/>
    </xf>
    <xf numFmtId="0" fontId="21" fillId="11" borderId="15" xfId="0" applyFont="1" applyFill="1" applyBorder="1" applyAlignment="1">
      <alignment horizontal="left" vertical="center" wrapText="1"/>
    </xf>
    <xf numFmtId="0" fontId="21" fillId="11" borderId="16" xfId="0" applyFont="1" applyFill="1" applyBorder="1" applyAlignment="1">
      <alignment horizontal="left" vertical="center" wrapText="1"/>
    </xf>
    <xf numFmtId="0" fontId="21" fillId="11" borderId="17" xfId="0" applyFont="1" applyFill="1" applyBorder="1" applyAlignment="1">
      <alignment horizontal="left" vertical="center" wrapText="1"/>
    </xf>
    <xf numFmtId="0" fontId="0" fillId="11" borderId="16" xfId="0" applyFill="1" applyBorder="1" applyAlignment="1">
      <alignment horizontal="left" vertical="center"/>
    </xf>
    <xf numFmtId="0" fontId="23" fillId="3" borderId="27" xfId="0" applyFont="1" applyFill="1" applyBorder="1" applyAlignment="1">
      <alignment horizontal="left" vertical="top" wrapText="1"/>
    </xf>
    <xf numFmtId="0" fontId="23" fillId="3" borderId="28" xfId="0" applyFont="1" applyFill="1" applyBorder="1" applyAlignment="1">
      <alignment horizontal="left" vertical="top" wrapText="1"/>
    </xf>
    <xf numFmtId="0" fontId="18" fillId="11" borderId="27" xfId="0" applyFont="1" applyFill="1" applyBorder="1" applyAlignment="1">
      <alignment horizontal="left" vertical="top" wrapText="1"/>
    </xf>
    <xf numFmtId="0" fontId="18" fillId="11" borderId="29" xfId="0" applyFont="1" applyFill="1" applyBorder="1" applyAlignment="1">
      <alignment horizontal="left" vertical="top" wrapText="1"/>
    </xf>
    <xf numFmtId="0" fontId="18" fillId="11" borderId="28" xfId="0" applyFont="1" applyFill="1" applyBorder="1" applyAlignment="1">
      <alignment horizontal="left" vertical="top" wrapText="1"/>
    </xf>
    <xf numFmtId="0" fontId="23" fillId="3" borderId="29" xfId="0" applyFont="1" applyFill="1" applyBorder="1" applyAlignment="1">
      <alignment horizontal="left" vertical="top" wrapText="1"/>
    </xf>
    <xf numFmtId="0" fontId="23" fillId="4" borderId="15" xfId="0" applyFont="1" applyFill="1" applyBorder="1" applyAlignment="1">
      <alignment horizontal="left" vertical="top" wrapText="1"/>
    </xf>
    <xf numFmtId="0" fontId="23" fillId="4" borderId="16" xfId="0" applyFont="1" applyFill="1" applyBorder="1" applyAlignment="1">
      <alignment horizontal="left" vertical="top" wrapText="1"/>
    </xf>
    <xf numFmtId="0" fontId="23" fillId="4" borderId="17" xfId="0" applyFont="1" applyFill="1" applyBorder="1" applyAlignment="1">
      <alignment horizontal="left" vertical="top" wrapText="1"/>
    </xf>
    <xf numFmtId="0" fontId="23" fillId="4" borderId="27" xfId="0" applyFont="1" applyFill="1" applyBorder="1" applyAlignment="1">
      <alignment horizontal="left" vertical="top" wrapText="1"/>
    </xf>
    <xf numFmtId="0" fontId="23" fillId="4" borderId="29" xfId="0" applyFont="1" applyFill="1" applyBorder="1" applyAlignment="1">
      <alignment horizontal="left" vertical="top" wrapText="1"/>
    </xf>
    <xf numFmtId="0" fontId="23" fillId="4" borderId="28" xfId="0" applyFont="1" applyFill="1" applyBorder="1" applyAlignment="1">
      <alignment horizontal="left" vertical="top" wrapText="1"/>
    </xf>
    <xf numFmtId="0" fontId="23" fillId="6" borderId="27" xfId="0" applyFont="1" applyFill="1" applyBorder="1" applyAlignment="1">
      <alignment horizontal="left" vertical="top" wrapText="1"/>
    </xf>
    <xf numFmtId="0" fontId="23" fillId="6" borderId="29" xfId="0" applyFont="1" applyFill="1" applyBorder="1" applyAlignment="1">
      <alignment horizontal="left" vertical="top" wrapText="1"/>
    </xf>
    <xf numFmtId="0" fontId="23" fillId="6" borderId="28" xfId="0" applyFont="1" applyFill="1" applyBorder="1" applyAlignment="1">
      <alignment horizontal="left" vertical="top" wrapText="1"/>
    </xf>
    <xf numFmtId="0" fontId="23" fillId="6" borderId="18" xfId="0" applyFont="1" applyFill="1" applyBorder="1" applyAlignment="1">
      <alignment horizontal="left" vertical="top" wrapText="1"/>
    </xf>
    <xf numFmtId="0" fontId="23" fillId="6" borderId="20" xfId="0" applyFont="1" applyFill="1" applyBorder="1" applyAlignment="1">
      <alignment horizontal="left" vertical="top" wrapText="1"/>
    </xf>
    <xf numFmtId="0" fontId="23" fillId="6" borderId="19" xfId="0" applyFont="1" applyFill="1" applyBorder="1" applyAlignment="1">
      <alignment horizontal="left" vertical="top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6" fillId="0" borderId="2" xfId="0" applyFont="1" applyBorder="1" applyAlignment="1">
      <alignment horizontal="center" wrapText="1"/>
    </xf>
    <xf numFmtId="0" fontId="26" fillId="0" borderId="8" xfId="0" applyFont="1" applyBorder="1" applyAlignment="1">
      <alignment horizontal="center" wrapText="1"/>
    </xf>
    <xf numFmtId="0" fontId="3" fillId="0" borderId="38" xfId="0" applyFont="1" applyBorder="1" applyAlignment="1">
      <alignment horizontal="center"/>
    </xf>
    <xf numFmtId="0" fontId="26" fillId="0" borderId="31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"/>
  <sheetViews>
    <sheetView workbookViewId="0">
      <selection activeCell="J22" sqref="J22"/>
    </sheetView>
  </sheetViews>
  <sheetFormatPr defaultRowHeight="15" x14ac:dyDescent="0.25"/>
  <cols>
    <col min="1" max="1" width="3.42578125" customWidth="1"/>
    <col min="2" max="2" width="17.28515625" customWidth="1"/>
  </cols>
  <sheetData>
    <row r="3" ht="15.75" customHeight="1" x14ac:dyDescent="0.25"/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3"/>
  <sheetViews>
    <sheetView workbookViewId="0">
      <selection activeCell="H17" sqref="H17"/>
    </sheetView>
  </sheetViews>
  <sheetFormatPr defaultRowHeight="15" x14ac:dyDescent="0.25"/>
  <cols>
    <col min="2" max="5" width="9.140625" customWidth="1"/>
    <col min="7" max="8" width="9.140625" customWidth="1"/>
  </cols>
  <sheetData>
    <row r="1" spans="1:17" ht="15.75" thickBot="1" x14ac:dyDescent="0.3"/>
    <row r="2" spans="1:17" x14ac:dyDescent="0.25">
      <c r="A2" s="172" t="s">
        <v>0</v>
      </c>
      <c r="B2" s="172" t="s">
        <v>1</v>
      </c>
      <c r="C2" s="166" t="s">
        <v>2</v>
      </c>
      <c r="D2" s="167"/>
      <c r="E2" s="168"/>
      <c r="F2" s="166" t="s">
        <v>4</v>
      </c>
      <c r="G2" s="167"/>
      <c r="H2" s="168"/>
      <c r="I2" s="166" t="s">
        <v>5</v>
      </c>
      <c r="J2" s="167"/>
      <c r="K2" s="168"/>
      <c r="L2" s="166" t="s">
        <v>6</v>
      </c>
      <c r="M2" s="167"/>
      <c r="N2" s="168"/>
      <c r="O2" s="172" t="s">
        <v>7</v>
      </c>
      <c r="P2" s="10"/>
      <c r="Q2" s="11"/>
    </row>
    <row r="3" spans="1:17" ht="15.75" thickBot="1" x14ac:dyDescent="0.3">
      <c r="A3" s="173"/>
      <c r="B3" s="173"/>
      <c r="C3" s="169" t="s">
        <v>3</v>
      </c>
      <c r="D3" s="170"/>
      <c r="E3" s="171"/>
      <c r="F3" s="169" t="s">
        <v>3</v>
      </c>
      <c r="G3" s="170"/>
      <c r="H3" s="171"/>
      <c r="I3" s="169" t="s">
        <v>3</v>
      </c>
      <c r="J3" s="170"/>
      <c r="K3" s="171"/>
      <c r="L3" s="169" t="s">
        <v>3</v>
      </c>
      <c r="M3" s="170"/>
      <c r="N3" s="171"/>
      <c r="O3" s="173"/>
      <c r="Q3" s="12"/>
    </row>
    <row r="4" spans="1:17" ht="15.75" thickBot="1" x14ac:dyDescent="0.3">
      <c r="A4" s="154" t="s">
        <v>8</v>
      </c>
      <c r="B4" s="156"/>
      <c r="C4" s="174">
        <v>80</v>
      </c>
      <c r="D4" s="175"/>
      <c r="E4" s="176"/>
      <c r="F4" s="174">
        <v>80</v>
      </c>
      <c r="G4" s="175"/>
      <c r="H4" s="176"/>
      <c r="I4" s="174">
        <v>100</v>
      </c>
      <c r="J4" s="175"/>
      <c r="K4" s="176"/>
      <c r="L4" s="174" t="s">
        <v>9</v>
      </c>
      <c r="M4" s="175"/>
      <c r="N4" s="176"/>
      <c r="O4" s="5"/>
      <c r="Q4" s="12"/>
    </row>
    <row r="5" spans="1:17" ht="15.75" thickBot="1" x14ac:dyDescent="0.3">
      <c r="A5" s="154" t="s">
        <v>10</v>
      </c>
      <c r="B5" s="155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6"/>
      <c r="Q5" s="12"/>
    </row>
    <row r="6" spans="1:17" ht="15.75" thickBot="1" x14ac:dyDescent="0.3">
      <c r="A6" s="6">
        <v>1</v>
      </c>
      <c r="B6" s="7">
        <v>43528</v>
      </c>
      <c r="C6" s="157">
        <v>13</v>
      </c>
      <c r="D6" s="158"/>
      <c r="E6" s="159"/>
      <c r="F6" s="157">
        <v>21</v>
      </c>
      <c r="G6" s="158"/>
      <c r="H6" s="159"/>
      <c r="I6" s="157">
        <v>78</v>
      </c>
      <c r="J6" s="158"/>
      <c r="K6" s="159"/>
      <c r="L6" s="160">
        <v>153</v>
      </c>
      <c r="M6" s="161"/>
      <c r="N6" s="162"/>
      <c r="O6" s="163">
        <v>78</v>
      </c>
      <c r="P6" s="164"/>
      <c r="Q6" s="165"/>
    </row>
    <row r="7" spans="1:17" ht="15.75" thickBot="1" x14ac:dyDescent="0.3">
      <c r="A7" s="6">
        <v>2</v>
      </c>
      <c r="B7" s="7">
        <v>43620</v>
      </c>
      <c r="C7" s="157">
        <v>10</v>
      </c>
      <c r="D7" s="158"/>
      <c r="E7" s="159"/>
      <c r="F7" s="157">
        <v>18</v>
      </c>
      <c r="G7" s="158"/>
      <c r="H7" s="159"/>
      <c r="I7" s="157">
        <v>70</v>
      </c>
      <c r="J7" s="158"/>
      <c r="K7" s="159"/>
      <c r="L7" s="160">
        <v>139</v>
      </c>
      <c r="M7" s="161"/>
      <c r="N7" s="162"/>
      <c r="O7" s="177">
        <v>70</v>
      </c>
      <c r="P7" s="178"/>
      <c r="Q7" s="179"/>
    </row>
    <row r="8" spans="1:17" ht="15.75" thickBot="1" x14ac:dyDescent="0.3">
      <c r="A8" s="6">
        <v>3</v>
      </c>
      <c r="B8" s="7">
        <v>43742</v>
      </c>
      <c r="C8" s="157">
        <v>13</v>
      </c>
      <c r="D8" s="158"/>
      <c r="E8" s="159"/>
      <c r="F8" s="157">
        <v>22</v>
      </c>
      <c r="G8" s="158"/>
      <c r="H8" s="159"/>
      <c r="I8" s="157">
        <v>73</v>
      </c>
      <c r="J8" s="158"/>
      <c r="K8" s="159"/>
      <c r="L8" s="160">
        <v>145</v>
      </c>
      <c r="M8" s="161"/>
      <c r="N8" s="162"/>
      <c r="O8" s="177">
        <v>73</v>
      </c>
      <c r="P8" s="178"/>
      <c r="Q8" s="179"/>
    </row>
    <row r="9" spans="1:17" ht="26.25" thickBot="1" x14ac:dyDescent="0.3">
      <c r="A9" s="6">
        <v>4</v>
      </c>
      <c r="B9" s="6" t="s">
        <v>11</v>
      </c>
      <c r="C9" s="157">
        <v>12</v>
      </c>
      <c r="D9" s="158"/>
      <c r="E9" s="159"/>
      <c r="F9" s="157">
        <v>20</v>
      </c>
      <c r="G9" s="158"/>
      <c r="H9" s="159"/>
      <c r="I9" s="157">
        <v>68</v>
      </c>
      <c r="J9" s="158"/>
      <c r="K9" s="159"/>
      <c r="L9" s="160">
        <v>134</v>
      </c>
      <c r="M9" s="161"/>
      <c r="N9" s="162"/>
      <c r="O9" s="177">
        <v>68</v>
      </c>
      <c r="P9" s="178"/>
      <c r="Q9" s="179"/>
    </row>
    <row r="10" spans="1:17" ht="26.25" thickBot="1" x14ac:dyDescent="0.3">
      <c r="A10" s="6">
        <v>5</v>
      </c>
      <c r="B10" s="6" t="s">
        <v>12</v>
      </c>
      <c r="C10" s="157">
        <v>11</v>
      </c>
      <c r="D10" s="158"/>
      <c r="E10" s="159"/>
      <c r="F10" s="157">
        <v>18</v>
      </c>
      <c r="G10" s="158"/>
      <c r="H10" s="159"/>
      <c r="I10" s="157">
        <v>56</v>
      </c>
      <c r="J10" s="158"/>
      <c r="K10" s="159"/>
      <c r="L10" s="160">
        <v>157</v>
      </c>
      <c r="M10" s="161"/>
      <c r="N10" s="162"/>
      <c r="O10" s="177">
        <v>56</v>
      </c>
      <c r="P10" s="178"/>
      <c r="Q10" s="179"/>
    </row>
    <row r="11" spans="1:17" ht="26.25" thickBot="1" x14ac:dyDescent="0.3">
      <c r="A11" s="6">
        <v>6</v>
      </c>
      <c r="B11" s="6" t="s">
        <v>13</v>
      </c>
      <c r="C11" s="157">
        <v>12</v>
      </c>
      <c r="D11" s="158"/>
      <c r="E11" s="159"/>
      <c r="F11" s="157">
        <v>22</v>
      </c>
      <c r="G11" s="158"/>
      <c r="H11" s="159"/>
      <c r="I11" s="157">
        <v>62</v>
      </c>
      <c r="J11" s="158"/>
      <c r="K11" s="159"/>
      <c r="L11" s="160">
        <v>176</v>
      </c>
      <c r="M11" s="161"/>
      <c r="N11" s="162"/>
      <c r="O11" s="177">
        <v>62</v>
      </c>
      <c r="P11" s="178"/>
      <c r="Q11" s="179"/>
    </row>
    <row r="12" spans="1:17" ht="26.25" thickBot="1" x14ac:dyDescent="0.3">
      <c r="A12" s="6">
        <v>7</v>
      </c>
      <c r="B12" s="6" t="s">
        <v>14</v>
      </c>
      <c r="C12" s="157">
        <v>14</v>
      </c>
      <c r="D12" s="158"/>
      <c r="E12" s="159"/>
      <c r="F12" s="157">
        <v>27</v>
      </c>
      <c r="G12" s="158"/>
      <c r="H12" s="159"/>
      <c r="I12" s="157">
        <v>79</v>
      </c>
      <c r="J12" s="158"/>
      <c r="K12" s="159"/>
      <c r="L12" s="160">
        <v>198</v>
      </c>
      <c r="M12" s="161"/>
      <c r="N12" s="162"/>
      <c r="O12" s="177">
        <v>79</v>
      </c>
      <c r="P12" s="178"/>
      <c r="Q12" s="179"/>
    </row>
    <row r="13" spans="1:17" ht="26.25" thickBot="1" x14ac:dyDescent="0.3">
      <c r="A13" s="6">
        <v>8</v>
      </c>
      <c r="B13" s="6" t="s">
        <v>15</v>
      </c>
      <c r="C13" s="157">
        <v>13</v>
      </c>
      <c r="D13" s="158"/>
      <c r="E13" s="159"/>
      <c r="F13" s="157">
        <v>25</v>
      </c>
      <c r="G13" s="158"/>
      <c r="H13" s="159"/>
      <c r="I13" s="157">
        <v>75</v>
      </c>
      <c r="J13" s="158"/>
      <c r="K13" s="159"/>
      <c r="L13" s="160">
        <v>182</v>
      </c>
      <c r="M13" s="161"/>
      <c r="N13" s="162"/>
      <c r="O13" s="177">
        <v>75</v>
      </c>
      <c r="P13" s="178"/>
      <c r="Q13" s="179"/>
    </row>
    <row r="14" spans="1:17" ht="15.75" thickBot="1" x14ac:dyDescent="0.3">
      <c r="A14" s="9" t="s">
        <v>16</v>
      </c>
      <c r="B14" s="2"/>
      <c r="C14" s="9" t="s">
        <v>17</v>
      </c>
      <c r="D14" s="9" t="s">
        <v>18</v>
      </c>
      <c r="E14" s="9" t="s">
        <v>19</v>
      </c>
      <c r="F14" s="9" t="s">
        <v>17</v>
      </c>
      <c r="G14" s="9" t="s">
        <v>18</v>
      </c>
      <c r="H14" s="9" t="s">
        <v>19</v>
      </c>
      <c r="I14" s="9" t="s">
        <v>17</v>
      </c>
      <c r="J14" s="9" t="s">
        <v>18</v>
      </c>
      <c r="K14" s="9" t="s">
        <v>19</v>
      </c>
      <c r="L14" s="9" t="s">
        <v>17</v>
      </c>
      <c r="M14" s="9" t="s">
        <v>18</v>
      </c>
      <c r="N14" s="9" t="s">
        <v>19</v>
      </c>
      <c r="O14" s="180"/>
      <c r="Q14" s="12"/>
    </row>
    <row r="15" spans="1:17" ht="15.75" thickBot="1" x14ac:dyDescent="0.3">
      <c r="A15" s="8">
        <v>8</v>
      </c>
      <c r="B15" s="4"/>
      <c r="C15" s="8" t="s">
        <v>20</v>
      </c>
      <c r="D15" s="8" t="s">
        <v>20</v>
      </c>
      <c r="E15" s="8" t="s">
        <v>20</v>
      </c>
      <c r="F15" s="8" t="s">
        <v>20</v>
      </c>
      <c r="G15" s="8" t="s">
        <v>20</v>
      </c>
      <c r="H15" s="8" t="s">
        <v>20</v>
      </c>
      <c r="I15" s="8" t="s">
        <v>20</v>
      </c>
      <c r="J15" s="8" t="s">
        <v>20</v>
      </c>
      <c r="K15" s="8" t="s">
        <v>20</v>
      </c>
      <c r="L15" s="8" t="s">
        <v>20</v>
      </c>
      <c r="M15" s="8" t="s">
        <v>20</v>
      </c>
      <c r="N15" s="8" t="s">
        <v>20</v>
      </c>
      <c r="O15" s="181"/>
      <c r="P15" s="3"/>
      <c r="Q15" s="4"/>
    </row>
    <row r="16" spans="1:17" ht="15.75" thickBot="1" x14ac:dyDescent="0.3">
      <c r="A16" s="13"/>
    </row>
    <row r="17" spans="1:17" ht="30" customHeight="1" x14ac:dyDescent="0.25">
      <c r="A17" s="182" t="s">
        <v>21</v>
      </c>
      <c r="B17" s="183"/>
      <c r="C17" s="184"/>
    </row>
    <row r="18" spans="1:17" ht="105" x14ac:dyDescent="0.25">
      <c r="A18" s="16" t="s">
        <v>22</v>
      </c>
      <c r="B18" s="14"/>
      <c r="C18" s="17" t="s">
        <v>23</v>
      </c>
    </row>
    <row r="19" spans="1:17" ht="45" x14ac:dyDescent="0.25">
      <c r="A19" s="16" t="s">
        <v>24</v>
      </c>
      <c r="B19" s="15"/>
      <c r="C19" s="17" t="s">
        <v>25</v>
      </c>
    </row>
    <row r="20" spans="1:17" ht="30" customHeight="1" thickBot="1" x14ac:dyDescent="0.3">
      <c r="A20" s="185" t="s">
        <v>26</v>
      </c>
      <c r="B20" s="186"/>
      <c r="C20" s="187"/>
    </row>
    <row r="21" spans="1:17" ht="15.75" thickBot="1" x14ac:dyDescent="0.3">
      <c r="A21" s="13"/>
    </row>
    <row r="22" spans="1:17" ht="45.75" thickBot="1" x14ac:dyDescent="0.3">
      <c r="A22" s="25" t="s">
        <v>7</v>
      </c>
      <c r="B22" s="25" t="s">
        <v>27</v>
      </c>
      <c r="C22" s="25" t="s">
        <v>28</v>
      </c>
      <c r="D22" s="25" t="s">
        <v>29</v>
      </c>
    </row>
    <row r="23" spans="1:17" ht="30.75" thickBot="1" x14ac:dyDescent="0.3">
      <c r="A23" s="18" t="s">
        <v>30</v>
      </c>
      <c r="B23" s="18" t="s">
        <v>31</v>
      </c>
      <c r="C23" s="18" t="s">
        <v>32</v>
      </c>
      <c r="D23" s="19"/>
    </row>
    <row r="24" spans="1:17" ht="105.75" thickBot="1" x14ac:dyDescent="0.3">
      <c r="A24" s="18" t="s">
        <v>33</v>
      </c>
      <c r="B24" s="18" t="s">
        <v>34</v>
      </c>
      <c r="C24" s="18" t="s">
        <v>35</v>
      </c>
      <c r="D24" s="20"/>
    </row>
    <row r="25" spans="1:17" ht="195.75" thickBot="1" x14ac:dyDescent="0.3">
      <c r="A25" s="18" t="s">
        <v>36</v>
      </c>
      <c r="B25" s="18" t="s">
        <v>37</v>
      </c>
      <c r="C25" s="18" t="s">
        <v>38</v>
      </c>
      <c r="D25" s="21"/>
    </row>
    <row r="26" spans="1:17" ht="150.75" thickBot="1" x14ac:dyDescent="0.3">
      <c r="A26" s="18" t="s">
        <v>39</v>
      </c>
      <c r="B26" s="18" t="s">
        <v>40</v>
      </c>
      <c r="C26" s="18" t="s">
        <v>41</v>
      </c>
      <c r="D26" s="22"/>
    </row>
    <row r="27" spans="1:17" ht="150.75" thickBot="1" x14ac:dyDescent="0.3">
      <c r="A27" s="18" t="s">
        <v>42</v>
      </c>
      <c r="B27" s="18" t="s">
        <v>43</v>
      </c>
      <c r="C27" s="18" t="s">
        <v>44</v>
      </c>
      <c r="D27" s="23"/>
    </row>
    <row r="28" spans="1:17" ht="90.75" thickBot="1" x14ac:dyDescent="0.3">
      <c r="A28" s="18" t="s">
        <v>45</v>
      </c>
      <c r="B28" s="18" t="s">
        <v>46</v>
      </c>
      <c r="C28" s="18" t="s">
        <v>47</v>
      </c>
      <c r="D28" s="24"/>
    </row>
    <row r="29" spans="1:17" ht="15.75" thickBot="1" x14ac:dyDescent="0.3">
      <c r="A29" s="188" t="s">
        <v>48</v>
      </c>
      <c r="B29" s="189"/>
      <c r="C29" s="189"/>
      <c r="D29" s="189"/>
      <c r="E29" s="189"/>
      <c r="F29" s="189"/>
      <c r="G29" s="189"/>
      <c r="H29" s="189"/>
      <c r="I29" s="189"/>
      <c r="J29" s="189"/>
      <c r="K29" s="189"/>
      <c r="L29" s="189"/>
      <c r="M29" s="189"/>
      <c r="N29" s="189"/>
      <c r="O29" s="189"/>
      <c r="P29" s="189"/>
      <c r="Q29" s="189"/>
    </row>
    <row r="30" spans="1:17" x14ac:dyDescent="0.25">
      <c r="A30" s="172" t="s">
        <v>49</v>
      </c>
      <c r="B30" s="172" t="s">
        <v>1</v>
      </c>
      <c r="C30" s="166" t="s">
        <v>2</v>
      </c>
      <c r="D30" s="167"/>
      <c r="E30" s="168"/>
      <c r="F30" s="166" t="s">
        <v>4</v>
      </c>
      <c r="G30" s="167"/>
      <c r="H30" s="168"/>
      <c r="I30" s="166" t="s">
        <v>5</v>
      </c>
      <c r="J30" s="167"/>
      <c r="K30" s="168"/>
      <c r="L30" s="166" t="s">
        <v>6</v>
      </c>
      <c r="M30" s="167"/>
      <c r="N30" s="168"/>
      <c r="O30" s="172" t="s">
        <v>7</v>
      </c>
      <c r="P30" s="10"/>
      <c r="Q30" s="11"/>
    </row>
    <row r="31" spans="1:17" ht="15.75" thickBot="1" x14ac:dyDescent="0.3">
      <c r="A31" s="173"/>
      <c r="B31" s="173"/>
      <c r="C31" s="169" t="s">
        <v>3</v>
      </c>
      <c r="D31" s="170"/>
      <c r="E31" s="171"/>
      <c r="F31" s="169" t="s">
        <v>3</v>
      </c>
      <c r="G31" s="170"/>
      <c r="H31" s="171"/>
      <c r="I31" s="169" t="s">
        <v>3</v>
      </c>
      <c r="J31" s="170"/>
      <c r="K31" s="171"/>
      <c r="L31" s="169" t="s">
        <v>3</v>
      </c>
      <c r="M31" s="170"/>
      <c r="N31" s="171"/>
      <c r="O31" s="173"/>
      <c r="Q31" s="12"/>
    </row>
    <row r="32" spans="1:17" ht="15.75" thickBot="1" x14ac:dyDescent="0.3">
      <c r="A32" s="154" t="s">
        <v>8</v>
      </c>
      <c r="B32" s="156"/>
      <c r="C32" s="174">
        <v>80</v>
      </c>
      <c r="D32" s="175"/>
      <c r="E32" s="176"/>
      <c r="F32" s="174">
        <v>80</v>
      </c>
      <c r="G32" s="175"/>
      <c r="H32" s="176"/>
      <c r="I32" s="174">
        <v>100</v>
      </c>
      <c r="J32" s="175"/>
      <c r="K32" s="176"/>
      <c r="L32" s="174" t="s">
        <v>9</v>
      </c>
      <c r="M32" s="175"/>
      <c r="N32" s="176"/>
      <c r="O32" s="5"/>
      <c r="Q32" s="12"/>
    </row>
    <row r="33" spans="1:17" ht="15.75" thickBot="1" x14ac:dyDescent="0.3">
      <c r="A33" s="154" t="s">
        <v>10</v>
      </c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5"/>
      <c r="N33" s="155"/>
      <c r="O33" s="156"/>
      <c r="Q33" s="12"/>
    </row>
    <row r="34" spans="1:17" ht="15.75" thickBot="1" x14ac:dyDescent="0.3">
      <c r="A34" s="6">
        <v>1</v>
      </c>
      <c r="B34" s="7">
        <v>43469</v>
      </c>
      <c r="C34" s="157">
        <v>26</v>
      </c>
      <c r="D34" s="158"/>
      <c r="E34" s="159"/>
      <c r="F34" s="157">
        <v>54</v>
      </c>
      <c r="G34" s="158"/>
      <c r="H34" s="159"/>
      <c r="I34" s="160">
        <v>136</v>
      </c>
      <c r="J34" s="161"/>
      <c r="K34" s="162"/>
      <c r="L34" s="160">
        <v>453</v>
      </c>
      <c r="M34" s="161"/>
      <c r="N34" s="162"/>
      <c r="O34" s="190">
        <v>124</v>
      </c>
      <c r="P34" s="191"/>
      <c r="Q34" s="192"/>
    </row>
    <row r="35" spans="1:17" ht="15.75" thickBot="1" x14ac:dyDescent="0.3">
      <c r="A35" s="6">
        <v>2</v>
      </c>
      <c r="B35" s="7">
        <v>43559</v>
      </c>
      <c r="C35" s="157">
        <v>25</v>
      </c>
      <c r="D35" s="158"/>
      <c r="E35" s="159"/>
      <c r="F35" s="157">
        <v>51</v>
      </c>
      <c r="G35" s="158"/>
      <c r="H35" s="159"/>
      <c r="I35" s="160">
        <v>128</v>
      </c>
      <c r="J35" s="161"/>
      <c r="K35" s="162"/>
      <c r="L35" s="160">
        <v>443</v>
      </c>
      <c r="M35" s="161"/>
      <c r="N35" s="162"/>
      <c r="O35" s="193">
        <v>119</v>
      </c>
      <c r="P35" s="194"/>
      <c r="Q35" s="195"/>
    </row>
    <row r="36" spans="1:17" ht="15.75" thickBot="1" x14ac:dyDescent="0.3">
      <c r="A36" s="6">
        <v>3</v>
      </c>
      <c r="B36" s="7">
        <v>43681</v>
      </c>
      <c r="C36" s="157">
        <v>26</v>
      </c>
      <c r="D36" s="158"/>
      <c r="E36" s="159"/>
      <c r="F36" s="157">
        <v>50</v>
      </c>
      <c r="G36" s="158"/>
      <c r="H36" s="159"/>
      <c r="I36" s="160">
        <v>135</v>
      </c>
      <c r="J36" s="161"/>
      <c r="K36" s="162"/>
      <c r="L36" s="160">
        <v>453</v>
      </c>
      <c r="M36" s="161"/>
      <c r="N36" s="162"/>
      <c r="O36" s="193">
        <v>123</v>
      </c>
      <c r="P36" s="194"/>
      <c r="Q36" s="195"/>
    </row>
    <row r="37" spans="1:17" ht="15.75" thickBot="1" x14ac:dyDescent="0.3">
      <c r="A37" s="6">
        <v>4</v>
      </c>
      <c r="B37" s="7">
        <v>43773</v>
      </c>
      <c r="C37" s="157">
        <v>25</v>
      </c>
      <c r="D37" s="158"/>
      <c r="E37" s="159"/>
      <c r="F37" s="157">
        <v>48</v>
      </c>
      <c r="G37" s="158"/>
      <c r="H37" s="159"/>
      <c r="I37" s="160">
        <v>128</v>
      </c>
      <c r="J37" s="161"/>
      <c r="K37" s="162"/>
      <c r="L37" s="160">
        <v>432</v>
      </c>
      <c r="M37" s="161"/>
      <c r="N37" s="162"/>
      <c r="O37" s="193">
        <v>119</v>
      </c>
      <c r="P37" s="194"/>
      <c r="Q37" s="195"/>
    </row>
    <row r="38" spans="1:17" ht="26.25" thickBot="1" x14ac:dyDescent="0.3">
      <c r="A38" s="6">
        <v>5</v>
      </c>
      <c r="B38" s="6" t="s">
        <v>50</v>
      </c>
      <c r="C38" s="157">
        <v>25</v>
      </c>
      <c r="D38" s="158"/>
      <c r="E38" s="159"/>
      <c r="F38" s="157">
        <v>47</v>
      </c>
      <c r="G38" s="158"/>
      <c r="H38" s="159"/>
      <c r="I38" s="160">
        <v>138</v>
      </c>
      <c r="J38" s="161"/>
      <c r="K38" s="162"/>
      <c r="L38" s="160">
        <v>474</v>
      </c>
      <c r="M38" s="161"/>
      <c r="N38" s="162"/>
      <c r="O38" s="193">
        <v>125</v>
      </c>
      <c r="P38" s="194"/>
      <c r="Q38" s="195"/>
    </row>
    <row r="39" spans="1:17" ht="26.25" thickBot="1" x14ac:dyDescent="0.3">
      <c r="A39" s="6">
        <v>6</v>
      </c>
      <c r="B39" s="6" t="s">
        <v>51</v>
      </c>
      <c r="C39" s="157">
        <v>26</v>
      </c>
      <c r="D39" s="158"/>
      <c r="E39" s="159"/>
      <c r="F39" s="157">
        <v>49</v>
      </c>
      <c r="G39" s="158"/>
      <c r="H39" s="159"/>
      <c r="I39" s="160">
        <v>144</v>
      </c>
      <c r="J39" s="161"/>
      <c r="K39" s="162"/>
      <c r="L39" s="160">
        <v>497</v>
      </c>
      <c r="M39" s="161"/>
      <c r="N39" s="162"/>
      <c r="O39" s="193">
        <v>129</v>
      </c>
      <c r="P39" s="194"/>
      <c r="Q39" s="195"/>
    </row>
    <row r="40" spans="1:17" ht="26.25" thickBot="1" x14ac:dyDescent="0.3">
      <c r="A40" s="6">
        <v>7</v>
      </c>
      <c r="B40" s="6" t="s">
        <v>52</v>
      </c>
      <c r="C40" s="157">
        <v>28</v>
      </c>
      <c r="D40" s="158"/>
      <c r="E40" s="159"/>
      <c r="F40" s="157">
        <v>56</v>
      </c>
      <c r="G40" s="158"/>
      <c r="H40" s="159"/>
      <c r="I40" s="160">
        <v>140</v>
      </c>
      <c r="J40" s="161"/>
      <c r="K40" s="162"/>
      <c r="L40" s="160">
        <v>595</v>
      </c>
      <c r="M40" s="161"/>
      <c r="N40" s="162"/>
      <c r="O40" s="193">
        <v>127</v>
      </c>
      <c r="P40" s="194"/>
      <c r="Q40" s="195"/>
    </row>
    <row r="41" spans="1:17" ht="26.25" thickBot="1" x14ac:dyDescent="0.3">
      <c r="A41" s="6">
        <v>8</v>
      </c>
      <c r="B41" s="6" t="s">
        <v>53</v>
      </c>
      <c r="C41" s="157">
        <v>29</v>
      </c>
      <c r="D41" s="158"/>
      <c r="E41" s="159"/>
      <c r="F41" s="157">
        <v>58</v>
      </c>
      <c r="G41" s="158"/>
      <c r="H41" s="159"/>
      <c r="I41" s="160">
        <v>149</v>
      </c>
      <c r="J41" s="161"/>
      <c r="K41" s="162"/>
      <c r="L41" s="160">
        <v>624</v>
      </c>
      <c r="M41" s="161"/>
      <c r="N41" s="162"/>
      <c r="O41" s="193">
        <v>133</v>
      </c>
      <c r="P41" s="194"/>
      <c r="Q41" s="195"/>
    </row>
    <row r="42" spans="1:17" ht="26.25" thickBot="1" x14ac:dyDescent="0.3">
      <c r="A42" s="6">
        <v>9</v>
      </c>
      <c r="B42" s="6" t="s">
        <v>54</v>
      </c>
      <c r="C42" s="157">
        <v>29</v>
      </c>
      <c r="D42" s="158"/>
      <c r="E42" s="159"/>
      <c r="F42" s="157">
        <v>58</v>
      </c>
      <c r="G42" s="158"/>
      <c r="H42" s="159"/>
      <c r="I42" s="160">
        <v>144</v>
      </c>
      <c r="J42" s="161"/>
      <c r="K42" s="162"/>
      <c r="L42" s="160">
        <v>541</v>
      </c>
      <c r="M42" s="161"/>
      <c r="N42" s="162"/>
      <c r="O42" s="193">
        <v>129</v>
      </c>
      <c r="P42" s="194"/>
      <c r="Q42" s="195"/>
    </row>
    <row r="43" spans="1:17" ht="15.75" thickBot="1" x14ac:dyDescent="0.3">
      <c r="A43" s="9" t="s">
        <v>16</v>
      </c>
      <c r="B43" s="2"/>
      <c r="C43" s="9" t="s">
        <v>17</v>
      </c>
      <c r="D43" s="9" t="s">
        <v>18</v>
      </c>
      <c r="E43" s="9" t="s">
        <v>19</v>
      </c>
      <c r="F43" s="9" t="s">
        <v>17</v>
      </c>
      <c r="G43" s="9" t="s">
        <v>18</v>
      </c>
      <c r="H43" s="9" t="s">
        <v>19</v>
      </c>
      <c r="I43" s="9" t="s">
        <v>17</v>
      </c>
      <c r="J43" s="9" t="s">
        <v>18</v>
      </c>
      <c r="K43" s="9" t="s">
        <v>19</v>
      </c>
      <c r="L43" s="9" t="s">
        <v>17</v>
      </c>
      <c r="M43" s="9" t="s">
        <v>18</v>
      </c>
      <c r="N43" s="9" t="s">
        <v>19</v>
      </c>
      <c r="O43" s="180"/>
      <c r="Q43" s="12"/>
    </row>
    <row r="44" spans="1:17" ht="15.75" thickBot="1" x14ac:dyDescent="0.3">
      <c r="A44" s="8">
        <v>9</v>
      </c>
      <c r="B44" s="4"/>
      <c r="C44" s="8" t="s">
        <v>20</v>
      </c>
      <c r="D44" s="8" t="s">
        <v>20</v>
      </c>
      <c r="E44" s="8" t="s">
        <v>20</v>
      </c>
      <c r="F44" s="8" t="s">
        <v>20</v>
      </c>
      <c r="G44" s="8" t="s">
        <v>20</v>
      </c>
      <c r="H44" s="8" t="s">
        <v>20</v>
      </c>
      <c r="I44" s="8" t="s">
        <v>20</v>
      </c>
      <c r="J44" s="8" t="s">
        <v>20</v>
      </c>
      <c r="K44" s="8" t="s">
        <v>20</v>
      </c>
      <c r="L44" s="8" t="s">
        <v>20</v>
      </c>
      <c r="M44" s="8" t="s">
        <v>20</v>
      </c>
      <c r="N44" s="8" t="s">
        <v>20</v>
      </c>
      <c r="O44" s="181"/>
      <c r="P44" s="3"/>
      <c r="Q44" s="4"/>
    </row>
    <row r="45" spans="1:17" ht="15.75" thickBot="1" x14ac:dyDescent="0.3">
      <c r="A45" s="13"/>
    </row>
    <row r="46" spans="1:17" ht="30" customHeight="1" x14ac:dyDescent="0.25">
      <c r="A46" s="182" t="s">
        <v>55</v>
      </c>
      <c r="B46" s="183"/>
      <c r="C46" s="184"/>
    </row>
    <row r="47" spans="1:17" ht="105" x14ac:dyDescent="0.25">
      <c r="A47" s="16" t="s">
        <v>56</v>
      </c>
      <c r="B47" s="14"/>
      <c r="C47" s="17" t="s">
        <v>57</v>
      </c>
    </row>
    <row r="48" spans="1:17" ht="45" x14ac:dyDescent="0.25">
      <c r="A48" s="16" t="s">
        <v>24</v>
      </c>
      <c r="B48" s="15"/>
      <c r="C48" s="17" t="s">
        <v>25</v>
      </c>
    </row>
    <row r="49" spans="1:17" ht="30" customHeight="1" thickBot="1" x14ac:dyDescent="0.3">
      <c r="A49" s="185" t="s">
        <v>26</v>
      </c>
      <c r="B49" s="186"/>
      <c r="C49" s="187"/>
    </row>
    <row r="50" spans="1:17" ht="15.75" thickBot="1" x14ac:dyDescent="0.3">
      <c r="A50" s="13"/>
    </row>
    <row r="51" spans="1:17" ht="45.75" thickBot="1" x14ac:dyDescent="0.3">
      <c r="A51" s="25" t="s">
        <v>7</v>
      </c>
      <c r="B51" s="25" t="s">
        <v>27</v>
      </c>
      <c r="C51" s="25" t="s">
        <v>28</v>
      </c>
      <c r="D51" s="25" t="s">
        <v>29</v>
      </c>
    </row>
    <row r="52" spans="1:17" ht="30.75" thickBot="1" x14ac:dyDescent="0.3">
      <c r="A52" s="18" t="s">
        <v>30</v>
      </c>
      <c r="B52" s="18" t="s">
        <v>31</v>
      </c>
      <c r="C52" s="18" t="s">
        <v>32</v>
      </c>
      <c r="D52" s="19"/>
    </row>
    <row r="53" spans="1:17" ht="105.75" thickBot="1" x14ac:dyDescent="0.3">
      <c r="A53" s="18" t="s">
        <v>33</v>
      </c>
      <c r="B53" s="18" t="s">
        <v>34</v>
      </c>
      <c r="C53" s="18" t="s">
        <v>35</v>
      </c>
      <c r="D53" s="20"/>
    </row>
    <row r="54" spans="1:17" ht="195.75" thickBot="1" x14ac:dyDescent="0.3">
      <c r="A54" s="18" t="s">
        <v>36</v>
      </c>
      <c r="B54" s="18" t="s">
        <v>37</v>
      </c>
      <c r="C54" s="18" t="s">
        <v>38</v>
      </c>
      <c r="D54" s="21"/>
    </row>
    <row r="55" spans="1:17" ht="150.75" thickBot="1" x14ac:dyDescent="0.3">
      <c r="A55" s="18" t="s">
        <v>39</v>
      </c>
      <c r="B55" s="18" t="s">
        <v>40</v>
      </c>
      <c r="C55" s="18" t="s">
        <v>41</v>
      </c>
      <c r="D55" s="22"/>
    </row>
    <row r="56" spans="1:17" ht="150.75" thickBot="1" x14ac:dyDescent="0.3">
      <c r="A56" s="18" t="s">
        <v>42</v>
      </c>
      <c r="B56" s="18" t="s">
        <v>43</v>
      </c>
      <c r="C56" s="18" t="s">
        <v>44</v>
      </c>
      <c r="D56" s="23"/>
    </row>
    <row r="57" spans="1:17" ht="90.75" thickBot="1" x14ac:dyDescent="0.3">
      <c r="A57" s="18" t="s">
        <v>45</v>
      </c>
      <c r="B57" s="18" t="s">
        <v>46</v>
      </c>
      <c r="C57" s="18" t="s">
        <v>47</v>
      </c>
      <c r="D57" s="24"/>
    </row>
    <row r="58" spans="1:17" ht="15.75" thickBot="1" x14ac:dyDescent="0.3">
      <c r="A58" s="188" t="s">
        <v>48</v>
      </c>
      <c r="B58" s="189"/>
      <c r="C58" s="189"/>
      <c r="D58" s="189"/>
      <c r="E58" s="189"/>
      <c r="F58" s="189"/>
      <c r="G58" s="189"/>
      <c r="H58" s="189"/>
      <c r="I58" s="189"/>
      <c r="J58" s="189"/>
      <c r="K58" s="189"/>
      <c r="L58" s="189"/>
      <c r="M58" s="189"/>
      <c r="N58" s="189"/>
      <c r="O58" s="189"/>
      <c r="P58" s="189"/>
      <c r="Q58" s="189"/>
    </row>
    <row r="59" spans="1:17" x14ac:dyDescent="0.25">
      <c r="A59" s="172" t="s">
        <v>49</v>
      </c>
      <c r="B59" s="172" t="s">
        <v>1</v>
      </c>
      <c r="C59" s="166" t="s">
        <v>2</v>
      </c>
      <c r="D59" s="167"/>
      <c r="E59" s="168"/>
      <c r="F59" s="166" t="s">
        <v>4</v>
      </c>
      <c r="G59" s="167"/>
      <c r="H59" s="168"/>
      <c r="I59" s="166" t="s">
        <v>5</v>
      </c>
      <c r="J59" s="167"/>
      <c r="K59" s="168"/>
      <c r="L59" s="166" t="s">
        <v>6</v>
      </c>
      <c r="M59" s="167"/>
      <c r="N59" s="168"/>
      <c r="O59" s="172" t="s">
        <v>7</v>
      </c>
      <c r="P59" s="10"/>
      <c r="Q59" s="11"/>
    </row>
    <row r="60" spans="1:17" ht="15.75" thickBot="1" x14ac:dyDescent="0.3">
      <c r="A60" s="173"/>
      <c r="B60" s="173"/>
      <c r="C60" s="169" t="s">
        <v>3</v>
      </c>
      <c r="D60" s="170"/>
      <c r="E60" s="171"/>
      <c r="F60" s="169" t="s">
        <v>3</v>
      </c>
      <c r="G60" s="170"/>
      <c r="H60" s="171"/>
      <c r="I60" s="169" t="s">
        <v>3</v>
      </c>
      <c r="J60" s="170"/>
      <c r="K60" s="171"/>
      <c r="L60" s="169" t="s">
        <v>3</v>
      </c>
      <c r="M60" s="170"/>
      <c r="N60" s="171"/>
      <c r="O60" s="173"/>
      <c r="Q60" s="12"/>
    </row>
    <row r="61" spans="1:17" ht="15.75" thickBot="1" x14ac:dyDescent="0.3">
      <c r="A61" s="154" t="s">
        <v>8</v>
      </c>
      <c r="B61" s="156"/>
      <c r="C61" s="174">
        <v>80</v>
      </c>
      <c r="D61" s="175"/>
      <c r="E61" s="176"/>
      <c r="F61" s="174">
        <v>80</v>
      </c>
      <c r="G61" s="175"/>
      <c r="H61" s="176"/>
      <c r="I61" s="174">
        <v>100</v>
      </c>
      <c r="J61" s="175"/>
      <c r="K61" s="176"/>
      <c r="L61" s="174" t="s">
        <v>9</v>
      </c>
      <c r="M61" s="175"/>
      <c r="N61" s="176"/>
      <c r="O61" s="5"/>
      <c r="Q61" s="12"/>
    </row>
    <row r="62" spans="1:17" ht="15.75" thickBot="1" x14ac:dyDescent="0.3">
      <c r="A62" s="154" t="s">
        <v>10</v>
      </c>
      <c r="B62" s="155"/>
      <c r="C62" s="155"/>
      <c r="D62" s="155"/>
      <c r="E62" s="155"/>
      <c r="F62" s="155"/>
      <c r="G62" s="155"/>
      <c r="H62" s="155"/>
      <c r="I62" s="155"/>
      <c r="J62" s="155"/>
      <c r="K62" s="155"/>
      <c r="L62" s="155"/>
      <c r="M62" s="155"/>
      <c r="N62" s="155"/>
      <c r="O62" s="156"/>
      <c r="Q62" s="12"/>
    </row>
    <row r="63" spans="1:17" ht="15.75" thickBot="1" x14ac:dyDescent="0.3">
      <c r="A63" s="6">
        <v>1</v>
      </c>
      <c r="B63" s="7">
        <v>43500</v>
      </c>
      <c r="C63" s="157">
        <v>21</v>
      </c>
      <c r="D63" s="158"/>
      <c r="E63" s="159"/>
      <c r="F63" s="157">
        <v>40</v>
      </c>
      <c r="G63" s="158"/>
      <c r="H63" s="159"/>
      <c r="I63" s="160">
        <v>106</v>
      </c>
      <c r="J63" s="161"/>
      <c r="K63" s="162"/>
      <c r="L63" s="160">
        <v>339</v>
      </c>
      <c r="M63" s="161"/>
      <c r="N63" s="162"/>
      <c r="O63" s="190">
        <v>104</v>
      </c>
      <c r="P63" s="191"/>
      <c r="Q63" s="192"/>
    </row>
    <row r="64" spans="1:17" ht="15.75" thickBot="1" x14ac:dyDescent="0.3">
      <c r="A64" s="6">
        <v>2</v>
      </c>
      <c r="B64" s="7">
        <v>43589</v>
      </c>
      <c r="C64" s="157">
        <v>21</v>
      </c>
      <c r="D64" s="158"/>
      <c r="E64" s="159"/>
      <c r="F64" s="157">
        <v>41</v>
      </c>
      <c r="G64" s="158"/>
      <c r="H64" s="159"/>
      <c r="I64" s="160">
        <v>110</v>
      </c>
      <c r="J64" s="161"/>
      <c r="K64" s="162"/>
      <c r="L64" s="160">
        <v>356</v>
      </c>
      <c r="M64" s="161"/>
      <c r="N64" s="162"/>
      <c r="O64" s="193">
        <v>107</v>
      </c>
      <c r="P64" s="194"/>
      <c r="Q64" s="195"/>
    </row>
    <row r="65" spans="1:17" ht="15.75" thickBot="1" x14ac:dyDescent="0.3">
      <c r="A65" s="6">
        <v>3</v>
      </c>
      <c r="B65" s="7">
        <v>43712</v>
      </c>
      <c r="C65" s="157">
        <v>22</v>
      </c>
      <c r="D65" s="158"/>
      <c r="E65" s="159"/>
      <c r="F65" s="157">
        <v>43</v>
      </c>
      <c r="G65" s="158"/>
      <c r="H65" s="159"/>
      <c r="I65" s="160">
        <v>114</v>
      </c>
      <c r="J65" s="161"/>
      <c r="K65" s="162"/>
      <c r="L65" s="160">
        <v>373</v>
      </c>
      <c r="M65" s="161"/>
      <c r="N65" s="162"/>
      <c r="O65" s="193">
        <v>109</v>
      </c>
      <c r="P65" s="194"/>
      <c r="Q65" s="195"/>
    </row>
    <row r="66" spans="1:17" ht="15.75" thickBot="1" x14ac:dyDescent="0.3">
      <c r="A66" s="6">
        <v>4</v>
      </c>
      <c r="B66" s="7">
        <v>43803</v>
      </c>
      <c r="C66" s="157">
        <v>22</v>
      </c>
      <c r="D66" s="158"/>
      <c r="E66" s="159"/>
      <c r="F66" s="157">
        <v>44</v>
      </c>
      <c r="G66" s="158"/>
      <c r="H66" s="159"/>
      <c r="I66" s="160">
        <v>116</v>
      </c>
      <c r="J66" s="161"/>
      <c r="K66" s="162"/>
      <c r="L66" s="160">
        <v>392</v>
      </c>
      <c r="M66" s="161"/>
      <c r="N66" s="162"/>
      <c r="O66" s="193">
        <v>111</v>
      </c>
      <c r="P66" s="194"/>
      <c r="Q66" s="195"/>
    </row>
    <row r="67" spans="1:17" ht="26.25" thickBot="1" x14ac:dyDescent="0.3">
      <c r="A67" s="6">
        <v>5</v>
      </c>
      <c r="B67" s="6" t="s">
        <v>58</v>
      </c>
      <c r="C67" s="157">
        <v>22</v>
      </c>
      <c r="D67" s="158"/>
      <c r="E67" s="159"/>
      <c r="F67" s="157">
        <v>43</v>
      </c>
      <c r="G67" s="158"/>
      <c r="H67" s="159"/>
      <c r="I67" s="160">
        <v>120</v>
      </c>
      <c r="J67" s="161"/>
      <c r="K67" s="162"/>
      <c r="L67" s="160">
        <v>414</v>
      </c>
      <c r="M67" s="161"/>
      <c r="N67" s="162"/>
      <c r="O67" s="193">
        <v>113</v>
      </c>
      <c r="P67" s="194"/>
      <c r="Q67" s="195"/>
    </row>
    <row r="68" spans="1:17" ht="26.25" thickBot="1" x14ac:dyDescent="0.3">
      <c r="A68" s="6">
        <v>6</v>
      </c>
      <c r="B68" s="6" t="s">
        <v>59</v>
      </c>
      <c r="C68" s="157">
        <v>23</v>
      </c>
      <c r="D68" s="158"/>
      <c r="E68" s="159"/>
      <c r="F68" s="157">
        <v>44</v>
      </c>
      <c r="G68" s="158"/>
      <c r="H68" s="159"/>
      <c r="I68" s="160">
        <v>124</v>
      </c>
      <c r="J68" s="161"/>
      <c r="K68" s="162"/>
      <c r="L68" s="160">
        <v>436</v>
      </c>
      <c r="M68" s="161"/>
      <c r="N68" s="162"/>
      <c r="O68" s="193">
        <v>116</v>
      </c>
      <c r="P68" s="194"/>
      <c r="Q68" s="195"/>
    </row>
    <row r="69" spans="1:17" ht="26.25" thickBot="1" x14ac:dyDescent="0.3">
      <c r="A69" s="6">
        <v>7</v>
      </c>
      <c r="B69" s="6" t="s">
        <v>60</v>
      </c>
      <c r="C69" s="157">
        <v>24</v>
      </c>
      <c r="D69" s="158"/>
      <c r="E69" s="159"/>
      <c r="F69" s="157">
        <v>48</v>
      </c>
      <c r="G69" s="158"/>
      <c r="H69" s="159"/>
      <c r="I69" s="160">
        <v>124</v>
      </c>
      <c r="J69" s="161"/>
      <c r="K69" s="162"/>
      <c r="L69" s="160">
        <v>445</v>
      </c>
      <c r="M69" s="161"/>
      <c r="N69" s="162"/>
      <c r="O69" s="193">
        <v>116</v>
      </c>
      <c r="P69" s="194"/>
      <c r="Q69" s="195"/>
    </row>
    <row r="70" spans="1:17" ht="26.25" thickBot="1" x14ac:dyDescent="0.3">
      <c r="A70" s="6">
        <v>8</v>
      </c>
      <c r="B70" s="6" t="s">
        <v>61</v>
      </c>
      <c r="C70" s="157">
        <v>25</v>
      </c>
      <c r="D70" s="158"/>
      <c r="E70" s="159"/>
      <c r="F70" s="157">
        <v>49</v>
      </c>
      <c r="G70" s="158"/>
      <c r="H70" s="159"/>
      <c r="I70" s="160">
        <v>129</v>
      </c>
      <c r="J70" s="161"/>
      <c r="K70" s="162"/>
      <c r="L70" s="160">
        <v>465</v>
      </c>
      <c r="M70" s="161"/>
      <c r="N70" s="162"/>
      <c r="O70" s="193">
        <v>119</v>
      </c>
      <c r="P70" s="194"/>
      <c r="Q70" s="195"/>
    </row>
    <row r="71" spans="1:17" ht="26.25" thickBot="1" x14ac:dyDescent="0.3">
      <c r="A71" s="6">
        <v>9</v>
      </c>
      <c r="B71" s="6" t="s">
        <v>62</v>
      </c>
      <c r="C71" s="157">
        <v>26</v>
      </c>
      <c r="D71" s="158"/>
      <c r="E71" s="159"/>
      <c r="F71" s="157">
        <v>47</v>
      </c>
      <c r="G71" s="158"/>
      <c r="H71" s="159"/>
      <c r="I71" s="160">
        <v>119</v>
      </c>
      <c r="J71" s="161"/>
      <c r="K71" s="162"/>
      <c r="L71" s="160">
        <v>412</v>
      </c>
      <c r="M71" s="161"/>
      <c r="N71" s="162"/>
      <c r="O71" s="193">
        <v>113</v>
      </c>
      <c r="P71" s="194"/>
      <c r="Q71" s="195"/>
    </row>
    <row r="72" spans="1:17" ht="15.75" thickBot="1" x14ac:dyDescent="0.3">
      <c r="A72" s="9" t="s">
        <v>16</v>
      </c>
      <c r="B72" s="2"/>
      <c r="C72" s="9" t="s">
        <v>17</v>
      </c>
      <c r="D72" s="9" t="s">
        <v>18</v>
      </c>
      <c r="E72" s="9" t="s">
        <v>19</v>
      </c>
      <c r="F72" s="9" t="s">
        <v>17</v>
      </c>
      <c r="G72" s="9" t="s">
        <v>18</v>
      </c>
      <c r="H72" s="9" t="s">
        <v>19</v>
      </c>
      <c r="I72" s="9" t="s">
        <v>17</v>
      </c>
      <c r="J72" s="9" t="s">
        <v>18</v>
      </c>
      <c r="K72" s="9" t="s">
        <v>19</v>
      </c>
      <c r="L72" s="9" t="s">
        <v>17</v>
      </c>
      <c r="M72" s="9" t="s">
        <v>18</v>
      </c>
      <c r="N72" s="9" t="s">
        <v>19</v>
      </c>
      <c r="O72" s="180"/>
      <c r="Q72" s="12"/>
    </row>
    <row r="73" spans="1:17" ht="15.75" thickBot="1" x14ac:dyDescent="0.3">
      <c r="A73" s="8">
        <v>9</v>
      </c>
      <c r="B73" s="4"/>
      <c r="C73" s="8" t="s">
        <v>20</v>
      </c>
      <c r="D73" s="8" t="s">
        <v>20</v>
      </c>
      <c r="E73" s="8" t="s">
        <v>20</v>
      </c>
      <c r="F73" s="8" t="s">
        <v>20</v>
      </c>
      <c r="G73" s="8" t="s">
        <v>20</v>
      </c>
      <c r="H73" s="8" t="s">
        <v>20</v>
      </c>
      <c r="I73" s="8" t="s">
        <v>20</v>
      </c>
      <c r="J73" s="8" t="s">
        <v>20</v>
      </c>
      <c r="K73" s="8" t="s">
        <v>20</v>
      </c>
      <c r="L73" s="8" t="s">
        <v>20</v>
      </c>
      <c r="M73" s="8" t="s">
        <v>20</v>
      </c>
      <c r="N73" s="8" t="s">
        <v>20</v>
      </c>
      <c r="O73" s="181"/>
      <c r="P73" s="3"/>
      <c r="Q73" s="4"/>
    </row>
    <row r="74" spans="1:17" x14ac:dyDescent="0.25">
      <c r="A74" s="13"/>
    </row>
    <row r="75" spans="1:17" x14ac:dyDescent="0.25">
      <c r="A75" s="26"/>
    </row>
    <row r="76" spans="1:17" x14ac:dyDescent="0.25">
      <c r="A76" s="26"/>
    </row>
    <row r="77" spans="1:17" x14ac:dyDescent="0.25">
      <c r="A77" s="26"/>
    </row>
    <row r="78" spans="1:17" x14ac:dyDescent="0.25">
      <c r="A78" s="27"/>
    </row>
    <row r="79" spans="1:17" x14ac:dyDescent="0.25">
      <c r="A79" s="28"/>
    </row>
    <row r="80" spans="1:17" x14ac:dyDescent="0.25">
      <c r="A80" s="28"/>
    </row>
    <row r="81" spans="1:1" x14ac:dyDescent="0.25">
      <c r="A81" s="28"/>
    </row>
    <row r="82" spans="1:1" x14ac:dyDescent="0.25">
      <c r="A82" s="28"/>
    </row>
    <row r="83" spans="1:1" x14ac:dyDescent="0.25">
      <c r="A83" s="28"/>
    </row>
  </sheetData>
  <mergeCells count="190">
    <mergeCell ref="O72:O73"/>
    <mergeCell ref="C70:E70"/>
    <mergeCell ref="F70:H70"/>
    <mergeCell ref="I70:K70"/>
    <mergeCell ref="L70:N70"/>
    <mergeCell ref="O70:Q70"/>
    <mergeCell ref="C71:E71"/>
    <mergeCell ref="F71:H71"/>
    <mergeCell ref="I71:K71"/>
    <mergeCell ref="L71:N71"/>
    <mergeCell ref="O71:Q71"/>
    <mergeCell ref="C68:E68"/>
    <mergeCell ref="F68:H68"/>
    <mergeCell ref="I68:K68"/>
    <mergeCell ref="L68:N68"/>
    <mergeCell ref="O68:Q68"/>
    <mergeCell ref="C69:E69"/>
    <mergeCell ref="F69:H69"/>
    <mergeCell ref="I69:K69"/>
    <mergeCell ref="L69:N69"/>
    <mergeCell ref="O69:Q69"/>
    <mergeCell ref="C66:E66"/>
    <mergeCell ref="F66:H66"/>
    <mergeCell ref="I66:K66"/>
    <mergeCell ref="L66:N66"/>
    <mergeCell ref="O66:Q66"/>
    <mergeCell ref="C67:E67"/>
    <mergeCell ref="F67:H67"/>
    <mergeCell ref="I67:K67"/>
    <mergeCell ref="L67:N67"/>
    <mergeCell ref="O67:Q67"/>
    <mergeCell ref="C64:E64"/>
    <mergeCell ref="F64:H64"/>
    <mergeCell ref="I64:K64"/>
    <mergeCell ref="L64:N64"/>
    <mergeCell ref="O64:Q64"/>
    <mergeCell ref="C65:E65"/>
    <mergeCell ref="F65:H65"/>
    <mergeCell ref="I65:K65"/>
    <mergeCell ref="L65:N65"/>
    <mergeCell ref="O65:Q65"/>
    <mergeCell ref="A62:O62"/>
    <mergeCell ref="C63:E63"/>
    <mergeCell ref="F63:H63"/>
    <mergeCell ref="I63:K63"/>
    <mergeCell ref="L63:N63"/>
    <mergeCell ref="O63:Q63"/>
    <mergeCell ref="I59:K59"/>
    <mergeCell ref="I60:K60"/>
    <mergeCell ref="L59:N59"/>
    <mergeCell ref="L60:N60"/>
    <mergeCell ref="O59:O60"/>
    <mergeCell ref="A61:B61"/>
    <mergeCell ref="C61:E61"/>
    <mergeCell ref="F61:H61"/>
    <mergeCell ref="I61:K61"/>
    <mergeCell ref="L61:N61"/>
    <mergeCell ref="O43:O44"/>
    <mergeCell ref="A46:C46"/>
    <mergeCell ref="A49:C49"/>
    <mergeCell ref="A58:Q58"/>
    <mergeCell ref="A59:A60"/>
    <mergeCell ref="B59:B60"/>
    <mergeCell ref="C59:E59"/>
    <mergeCell ref="C60:E60"/>
    <mergeCell ref="F59:H59"/>
    <mergeCell ref="F60:H60"/>
    <mergeCell ref="C41:E41"/>
    <mergeCell ref="F41:H41"/>
    <mergeCell ref="I41:K41"/>
    <mergeCell ref="L41:N41"/>
    <mergeCell ref="O41:Q41"/>
    <mergeCell ref="C42:E42"/>
    <mergeCell ref="F42:H42"/>
    <mergeCell ref="I42:K42"/>
    <mergeCell ref="L42:N42"/>
    <mergeCell ref="O42:Q42"/>
    <mergeCell ref="C39:E39"/>
    <mergeCell ref="F39:H39"/>
    <mergeCell ref="I39:K39"/>
    <mergeCell ref="L39:N39"/>
    <mergeCell ref="O39:Q39"/>
    <mergeCell ref="C40:E40"/>
    <mergeCell ref="F40:H40"/>
    <mergeCell ref="I40:K40"/>
    <mergeCell ref="L40:N40"/>
    <mergeCell ref="O40:Q40"/>
    <mergeCell ref="C37:E37"/>
    <mergeCell ref="F37:H37"/>
    <mergeCell ref="I37:K37"/>
    <mergeCell ref="L37:N37"/>
    <mergeCell ref="O37:Q37"/>
    <mergeCell ref="C38:E38"/>
    <mergeCell ref="F38:H38"/>
    <mergeCell ref="I38:K38"/>
    <mergeCell ref="L38:N38"/>
    <mergeCell ref="O38:Q38"/>
    <mergeCell ref="C35:E35"/>
    <mergeCell ref="F35:H35"/>
    <mergeCell ref="I35:K35"/>
    <mergeCell ref="L35:N35"/>
    <mergeCell ref="O35:Q35"/>
    <mergeCell ref="C36:E36"/>
    <mergeCell ref="F36:H36"/>
    <mergeCell ref="I36:K36"/>
    <mergeCell ref="L36:N36"/>
    <mergeCell ref="O36:Q36"/>
    <mergeCell ref="A33:O33"/>
    <mergeCell ref="C34:E34"/>
    <mergeCell ref="F34:H34"/>
    <mergeCell ref="I34:K34"/>
    <mergeCell ref="L34:N34"/>
    <mergeCell ref="O34:Q34"/>
    <mergeCell ref="I31:K31"/>
    <mergeCell ref="L30:N30"/>
    <mergeCell ref="L31:N31"/>
    <mergeCell ref="O30:O31"/>
    <mergeCell ref="A32:B32"/>
    <mergeCell ref="C32:E32"/>
    <mergeCell ref="F32:H32"/>
    <mergeCell ref="I32:K32"/>
    <mergeCell ref="L32:N32"/>
    <mergeCell ref="A17:C17"/>
    <mergeCell ref="A20:C20"/>
    <mergeCell ref="A29:Q29"/>
    <mergeCell ref="A30:A31"/>
    <mergeCell ref="B30:B31"/>
    <mergeCell ref="C30:E30"/>
    <mergeCell ref="C31:E31"/>
    <mergeCell ref="F30:H30"/>
    <mergeCell ref="F31:H31"/>
    <mergeCell ref="I30:K30"/>
    <mergeCell ref="C13:E13"/>
    <mergeCell ref="F13:H13"/>
    <mergeCell ref="I13:K13"/>
    <mergeCell ref="L13:N13"/>
    <mergeCell ref="O13:Q13"/>
    <mergeCell ref="O14:O15"/>
    <mergeCell ref="C11:E11"/>
    <mergeCell ref="F11:H11"/>
    <mergeCell ref="I11:K11"/>
    <mergeCell ref="L11:N11"/>
    <mergeCell ref="O11:Q11"/>
    <mergeCell ref="C12:E12"/>
    <mergeCell ref="F12:H12"/>
    <mergeCell ref="I12:K12"/>
    <mergeCell ref="L12:N12"/>
    <mergeCell ref="O12:Q12"/>
    <mergeCell ref="C9:E9"/>
    <mergeCell ref="F9:H9"/>
    <mergeCell ref="I9:K9"/>
    <mergeCell ref="L9:N9"/>
    <mergeCell ref="O9:Q9"/>
    <mergeCell ref="C10:E10"/>
    <mergeCell ref="F10:H10"/>
    <mergeCell ref="I10:K10"/>
    <mergeCell ref="L10:N10"/>
    <mergeCell ref="O10:Q10"/>
    <mergeCell ref="C7:E7"/>
    <mergeCell ref="F7:H7"/>
    <mergeCell ref="I7:K7"/>
    <mergeCell ref="L7:N7"/>
    <mergeCell ref="O7:Q7"/>
    <mergeCell ref="C8:E8"/>
    <mergeCell ref="F8:H8"/>
    <mergeCell ref="I8:K8"/>
    <mergeCell ref="L8:N8"/>
    <mergeCell ref="O8:Q8"/>
    <mergeCell ref="A5:O5"/>
    <mergeCell ref="C6:E6"/>
    <mergeCell ref="F6:H6"/>
    <mergeCell ref="I6:K6"/>
    <mergeCell ref="L6:N6"/>
    <mergeCell ref="O6:Q6"/>
    <mergeCell ref="I2:K2"/>
    <mergeCell ref="I3:K3"/>
    <mergeCell ref="L2:N2"/>
    <mergeCell ref="L3:N3"/>
    <mergeCell ref="O2:O3"/>
    <mergeCell ref="A4:B4"/>
    <mergeCell ref="C4:E4"/>
    <mergeCell ref="F4:H4"/>
    <mergeCell ref="I4:K4"/>
    <mergeCell ref="L4:N4"/>
    <mergeCell ref="A2:A3"/>
    <mergeCell ref="B2:B3"/>
    <mergeCell ref="C2:E2"/>
    <mergeCell ref="C3:E3"/>
    <mergeCell ref="F2:H2"/>
    <mergeCell ref="F3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46"/>
  <sheetViews>
    <sheetView topLeftCell="Z13" workbookViewId="0">
      <selection activeCell="AG19" sqref="AG19:AG27"/>
    </sheetView>
  </sheetViews>
  <sheetFormatPr defaultRowHeight="15" x14ac:dyDescent="0.25"/>
  <sheetData>
    <row r="1" spans="1:45" ht="15.75" thickBot="1" x14ac:dyDescent="0.3"/>
    <row r="2" spans="1:45" ht="30" customHeight="1" x14ac:dyDescent="0.25">
      <c r="A2" s="182" t="s">
        <v>63</v>
      </c>
      <c r="B2" s="183"/>
      <c r="C2" s="184"/>
      <c r="R2" s="207" t="s">
        <v>68</v>
      </c>
      <c r="S2" s="208"/>
      <c r="T2" s="209"/>
      <c r="AF2" s="207" t="s">
        <v>94</v>
      </c>
      <c r="AG2" s="208"/>
      <c r="AH2" s="209"/>
    </row>
    <row r="3" spans="1:45" ht="85.5" x14ac:dyDescent="0.25">
      <c r="A3" s="16" t="s">
        <v>64</v>
      </c>
      <c r="B3" s="14"/>
      <c r="C3" s="17" t="s">
        <v>57</v>
      </c>
      <c r="R3" s="35" t="s">
        <v>69</v>
      </c>
      <c r="S3" s="31"/>
      <c r="T3" s="36" t="s">
        <v>70</v>
      </c>
      <c r="AF3" s="35" t="s">
        <v>69</v>
      </c>
      <c r="AG3" s="31"/>
      <c r="AH3" s="36" t="s">
        <v>70</v>
      </c>
    </row>
    <row r="4" spans="1:45" ht="57" x14ac:dyDescent="0.25">
      <c r="A4" s="16" t="s">
        <v>65</v>
      </c>
      <c r="B4" s="15"/>
      <c r="C4" s="17" t="s">
        <v>25</v>
      </c>
      <c r="R4" s="35" t="s">
        <v>71</v>
      </c>
      <c r="S4" s="32"/>
      <c r="T4" s="36" t="s">
        <v>72</v>
      </c>
      <c r="AF4" s="35" t="s">
        <v>71</v>
      </c>
      <c r="AG4" s="32"/>
      <c r="AH4" s="36" t="s">
        <v>72</v>
      </c>
    </row>
    <row r="5" spans="1:45" ht="30" customHeight="1" thickBot="1" x14ac:dyDescent="0.3">
      <c r="A5" s="185" t="s">
        <v>66</v>
      </c>
      <c r="B5" s="186"/>
      <c r="C5" s="187"/>
      <c r="R5" s="210" t="s">
        <v>73</v>
      </c>
      <c r="S5" s="211"/>
      <c r="T5" s="212"/>
      <c r="AF5" s="210" t="s">
        <v>73</v>
      </c>
      <c r="AG5" s="211"/>
      <c r="AH5" s="212"/>
    </row>
    <row r="6" spans="1:45" ht="15.75" thickBot="1" x14ac:dyDescent="0.3"/>
    <row r="7" spans="1:45" ht="45.75" thickBot="1" x14ac:dyDescent="0.3">
      <c r="A7" s="25" t="s">
        <v>7</v>
      </c>
      <c r="B7" s="25" t="s">
        <v>27</v>
      </c>
      <c r="C7" s="25" t="s">
        <v>28</v>
      </c>
      <c r="D7" s="25" t="s">
        <v>29</v>
      </c>
      <c r="R7" s="44" t="s">
        <v>7</v>
      </c>
      <c r="S7" s="44" t="s">
        <v>27</v>
      </c>
      <c r="T7" s="44" t="s">
        <v>28</v>
      </c>
      <c r="U7" s="44" t="s">
        <v>29</v>
      </c>
      <c r="AF7" s="44" t="s">
        <v>7</v>
      </c>
      <c r="AG7" s="44" t="s">
        <v>27</v>
      </c>
      <c r="AH7" s="44" t="s">
        <v>28</v>
      </c>
      <c r="AI7" s="44" t="s">
        <v>29</v>
      </c>
    </row>
    <row r="8" spans="1:45" ht="30.75" thickBot="1" x14ac:dyDescent="0.3">
      <c r="A8" s="18" t="s">
        <v>30</v>
      </c>
      <c r="B8" s="18" t="s">
        <v>31</v>
      </c>
      <c r="C8" s="18" t="s">
        <v>32</v>
      </c>
      <c r="D8" s="19"/>
      <c r="R8" s="37" t="s">
        <v>30</v>
      </c>
      <c r="S8" s="37" t="s">
        <v>31</v>
      </c>
      <c r="T8" s="37" t="s">
        <v>32</v>
      </c>
      <c r="U8" s="38"/>
      <c r="AF8" s="37" t="s">
        <v>30</v>
      </c>
      <c r="AG8" s="37" t="s">
        <v>31</v>
      </c>
      <c r="AH8" s="37" t="s">
        <v>32</v>
      </c>
      <c r="AI8" s="38"/>
    </row>
    <row r="9" spans="1:45" ht="105.75" thickBot="1" x14ac:dyDescent="0.3">
      <c r="A9" s="18" t="s">
        <v>33</v>
      </c>
      <c r="B9" s="18" t="s">
        <v>34</v>
      </c>
      <c r="C9" s="18" t="s">
        <v>35</v>
      </c>
      <c r="D9" s="20"/>
      <c r="R9" s="37" t="s">
        <v>33</v>
      </c>
      <c r="S9" s="37" t="s">
        <v>34</v>
      </c>
      <c r="T9" s="37" t="s">
        <v>35</v>
      </c>
      <c r="U9" s="39"/>
      <c r="AF9" s="37" t="s">
        <v>33</v>
      </c>
      <c r="AG9" s="37" t="s">
        <v>34</v>
      </c>
      <c r="AH9" s="37" t="s">
        <v>35</v>
      </c>
      <c r="AI9" s="39"/>
    </row>
    <row r="10" spans="1:45" ht="195.75" thickBot="1" x14ac:dyDescent="0.3">
      <c r="A10" s="18" t="s">
        <v>36</v>
      </c>
      <c r="B10" s="18" t="s">
        <v>37</v>
      </c>
      <c r="C10" s="18" t="s">
        <v>38</v>
      </c>
      <c r="D10" s="21"/>
      <c r="R10" s="37" t="s">
        <v>36</v>
      </c>
      <c r="S10" s="37" t="s">
        <v>37</v>
      </c>
      <c r="T10" s="37" t="s">
        <v>38</v>
      </c>
      <c r="U10" s="40"/>
      <c r="AF10" s="37" t="s">
        <v>36</v>
      </c>
      <c r="AG10" s="37" t="s">
        <v>37</v>
      </c>
      <c r="AH10" s="37" t="s">
        <v>38</v>
      </c>
      <c r="AI10" s="40"/>
    </row>
    <row r="11" spans="1:45" ht="150.75" thickBot="1" x14ac:dyDescent="0.3">
      <c r="A11" s="18" t="s">
        <v>39</v>
      </c>
      <c r="B11" s="18" t="s">
        <v>40</v>
      </c>
      <c r="C11" s="18" t="s">
        <v>41</v>
      </c>
      <c r="D11" s="22"/>
      <c r="R11" s="37" t="s">
        <v>39</v>
      </c>
      <c r="S11" s="37" t="s">
        <v>40</v>
      </c>
      <c r="T11" s="37" t="s">
        <v>41</v>
      </c>
      <c r="U11" s="41"/>
      <c r="AF11" s="37" t="s">
        <v>39</v>
      </c>
      <c r="AG11" s="37" t="s">
        <v>40</v>
      </c>
      <c r="AH11" s="37" t="s">
        <v>41</v>
      </c>
      <c r="AI11" s="41"/>
    </row>
    <row r="12" spans="1:45" ht="150.75" thickBot="1" x14ac:dyDescent="0.3">
      <c r="A12" s="18" t="s">
        <v>42</v>
      </c>
      <c r="B12" s="18" t="s">
        <v>43</v>
      </c>
      <c r="C12" s="18" t="s">
        <v>44</v>
      </c>
      <c r="D12" s="23"/>
      <c r="R12" s="37" t="s">
        <v>42</v>
      </c>
      <c r="S12" s="37" t="s">
        <v>43</v>
      </c>
      <c r="T12" s="37" t="s">
        <v>44</v>
      </c>
      <c r="U12" s="42"/>
      <c r="AF12" s="37" t="s">
        <v>42</v>
      </c>
      <c r="AG12" s="37" t="s">
        <v>43</v>
      </c>
      <c r="AH12" s="37" t="s">
        <v>44</v>
      </c>
      <c r="AI12" s="42"/>
    </row>
    <row r="13" spans="1:45" ht="90.75" thickBot="1" x14ac:dyDescent="0.3">
      <c r="A13" s="18" t="s">
        <v>45</v>
      </c>
      <c r="B13" s="18" t="s">
        <v>46</v>
      </c>
      <c r="C13" s="18" t="s">
        <v>47</v>
      </c>
      <c r="D13" s="24"/>
      <c r="R13" s="37" t="s">
        <v>45</v>
      </c>
      <c r="S13" s="37" t="s">
        <v>46</v>
      </c>
      <c r="T13" s="37" t="s">
        <v>47</v>
      </c>
      <c r="U13" s="43"/>
      <c r="AF13" s="37" t="s">
        <v>45</v>
      </c>
      <c r="AG13" s="37" t="s">
        <v>46</v>
      </c>
      <c r="AH13" s="37" t="s">
        <v>47</v>
      </c>
      <c r="AI13" s="43"/>
    </row>
    <row r="14" spans="1:45" ht="15.75" thickBot="1" x14ac:dyDescent="0.3">
      <c r="A14" s="188" t="s">
        <v>48</v>
      </c>
      <c r="B14" s="189"/>
      <c r="C14" s="189"/>
      <c r="D14" s="189"/>
      <c r="E14" s="189"/>
      <c r="F14" s="189"/>
      <c r="G14" s="189"/>
      <c r="H14" s="189"/>
      <c r="I14" s="189"/>
      <c r="J14" s="189"/>
      <c r="K14" s="189"/>
      <c r="L14" s="189"/>
      <c r="M14" s="189"/>
      <c r="N14" s="189"/>
      <c r="R14" s="213" t="s">
        <v>48</v>
      </c>
      <c r="S14" s="189"/>
      <c r="T14" s="189"/>
      <c r="U14" s="189"/>
      <c r="V14" s="189"/>
      <c r="W14" s="189"/>
      <c r="X14" s="189"/>
      <c r="Y14" s="189"/>
      <c r="Z14" s="189"/>
      <c r="AA14" s="189"/>
      <c r="AB14" s="189"/>
      <c r="AC14" s="189"/>
      <c r="AD14" s="189"/>
      <c r="AE14" s="189"/>
      <c r="AF14" s="213" t="s">
        <v>48</v>
      </c>
      <c r="AG14" s="189"/>
      <c r="AH14" s="189"/>
      <c r="AI14" s="189"/>
      <c r="AJ14" s="189"/>
      <c r="AK14" s="189"/>
      <c r="AL14" s="189"/>
      <c r="AM14" s="189"/>
      <c r="AN14" s="189"/>
      <c r="AO14" s="189"/>
      <c r="AP14" s="189"/>
      <c r="AQ14" s="189"/>
      <c r="AR14" s="189"/>
      <c r="AS14" s="189"/>
    </row>
    <row r="15" spans="1:45" x14ac:dyDescent="0.25">
      <c r="A15" s="172" t="s">
        <v>49</v>
      </c>
      <c r="B15" s="172" t="s">
        <v>1</v>
      </c>
      <c r="C15" s="166" t="s">
        <v>2</v>
      </c>
      <c r="D15" s="167"/>
      <c r="E15" s="168"/>
      <c r="F15" s="166" t="s">
        <v>4</v>
      </c>
      <c r="G15" s="167"/>
      <c r="H15" s="168"/>
      <c r="I15" s="166" t="s">
        <v>5</v>
      </c>
      <c r="J15" s="167"/>
      <c r="K15" s="168"/>
      <c r="L15" s="172" t="s">
        <v>7</v>
      </c>
      <c r="M15" s="10"/>
      <c r="N15" s="11"/>
      <c r="R15" s="205" t="s">
        <v>49</v>
      </c>
      <c r="S15" s="205" t="s">
        <v>1</v>
      </c>
      <c r="T15" s="202" t="s">
        <v>2</v>
      </c>
      <c r="U15" s="203"/>
      <c r="V15" s="204"/>
      <c r="W15" s="202" t="s">
        <v>4</v>
      </c>
      <c r="X15" s="203"/>
      <c r="Y15" s="204"/>
      <c r="Z15" s="202" t="s">
        <v>5</v>
      </c>
      <c r="AA15" s="203"/>
      <c r="AB15" s="204"/>
      <c r="AC15" s="205" t="s">
        <v>7</v>
      </c>
      <c r="AD15" s="33"/>
      <c r="AE15" s="34"/>
      <c r="AF15" s="205" t="s">
        <v>49</v>
      </c>
      <c r="AG15" s="205" t="s">
        <v>1</v>
      </c>
      <c r="AH15" s="202" t="s">
        <v>2</v>
      </c>
      <c r="AI15" s="203"/>
      <c r="AJ15" s="204"/>
      <c r="AK15" s="202" t="s">
        <v>4</v>
      </c>
      <c r="AL15" s="203"/>
      <c r="AM15" s="204"/>
      <c r="AN15" s="202" t="s">
        <v>5</v>
      </c>
      <c r="AO15" s="203"/>
      <c r="AP15" s="204"/>
      <c r="AQ15" s="205" t="s">
        <v>7</v>
      </c>
      <c r="AR15" s="33"/>
      <c r="AS15" s="34"/>
    </row>
    <row r="16" spans="1:45" ht="15.75" thickBot="1" x14ac:dyDescent="0.3">
      <c r="A16" s="173"/>
      <c r="B16" s="173"/>
      <c r="C16" s="169" t="s">
        <v>3</v>
      </c>
      <c r="D16" s="170"/>
      <c r="E16" s="171"/>
      <c r="F16" s="169" t="s">
        <v>3</v>
      </c>
      <c r="G16" s="170"/>
      <c r="H16" s="171"/>
      <c r="I16" s="169" t="s">
        <v>3</v>
      </c>
      <c r="J16" s="170"/>
      <c r="K16" s="171"/>
      <c r="L16" s="173"/>
      <c r="N16" s="12"/>
      <c r="R16" s="206"/>
      <c r="S16" s="206"/>
      <c r="T16" s="199" t="s">
        <v>74</v>
      </c>
      <c r="U16" s="200"/>
      <c r="V16" s="201"/>
      <c r="W16" s="199" t="s">
        <v>74</v>
      </c>
      <c r="X16" s="200"/>
      <c r="Y16" s="201"/>
      <c r="Z16" s="199" t="s">
        <v>74</v>
      </c>
      <c r="AA16" s="200"/>
      <c r="AB16" s="201"/>
      <c r="AC16" s="206"/>
      <c r="AD16" s="29"/>
      <c r="AE16" s="49"/>
      <c r="AF16" s="206"/>
      <c r="AG16" s="206"/>
      <c r="AH16" s="199" t="s">
        <v>74</v>
      </c>
      <c r="AI16" s="200"/>
      <c r="AJ16" s="201"/>
      <c r="AK16" s="199" t="s">
        <v>74</v>
      </c>
      <c r="AL16" s="200"/>
      <c r="AM16" s="201"/>
      <c r="AN16" s="199" t="s">
        <v>74</v>
      </c>
      <c r="AO16" s="200"/>
      <c r="AP16" s="201"/>
      <c r="AQ16" s="206"/>
      <c r="AR16" s="29"/>
      <c r="AS16" s="49"/>
    </row>
    <row r="17" spans="1:45" ht="15.75" customHeight="1" thickBot="1" x14ac:dyDescent="0.3">
      <c r="A17" s="154" t="s">
        <v>8</v>
      </c>
      <c r="B17" s="156"/>
      <c r="C17" s="174">
        <v>80</v>
      </c>
      <c r="D17" s="175"/>
      <c r="E17" s="176"/>
      <c r="F17" s="174">
        <v>80</v>
      </c>
      <c r="G17" s="175"/>
      <c r="H17" s="176"/>
      <c r="I17" s="174">
        <v>100</v>
      </c>
      <c r="J17" s="175"/>
      <c r="K17" s="176"/>
      <c r="L17" s="5"/>
      <c r="N17" s="12"/>
      <c r="R17" s="214" t="s">
        <v>8</v>
      </c>
      <c r="S17" s="215"/>
      <c r="T17" s="216">
        <v>80</v>
      </c>
      <c r="U17" s="217"/>
      <c r="V17" s="218"/>
      <c r="W17" s="216">
        <v>80</v>
      </c>
      <c r="X17" s="217"/>
      <c r="Y17" s="218"/>
      <c r="Z17" s="216">
        <v>100</v>
      </c>
      <c r="AA17" s="217"/>
      <c r="AB17" s="218"/>
      <c r="AC17" s="46"/>
      <c r="AD17" s="29"/>
      <c r="AE17" s="49"/>
      <c r="AF17" s="214" t="s">
        <v>8</v>
      </c>
      <c r="AG17" s="215"/>
      <c r="AH17" s="216">
        <v>80</v>
      </c>
      <c r="AI17" s="217"/>
      <c r="AJ17" s="218"/>
      <c r="AK17" s="216">
        <v>80</v>
      </c>
      <c r="AL17" s="217"/>
      <c r="AM17" s="218"/>
      <c r="AN17" s="216">
        <v>100</v>
      </c>
      <c r="AO17" s="217"/>
      <c r="AP17" s="218"/>
      <c r="AQ17" s="46"/>
      <c r="AR17" s="29"/>
      <c r="AS17" s="49"/>
    </row>
    <row r="18" spans="1:45" ht="15.75" thickBot="1" x14ac:dyDescent="0.3">
      <c r="A18" s="154" t="s">
        <v>10</v>
      </c>
      <c r="B18" s="155"/>
      <c r="C18" s="155"/>
      <c r="D18" s="155"/>
      <c r="E18" s="155"/>
      <c r="F18" s="155"/>
      <c r="G18" s="155"/>
      <c r="H18" s="155"/>
      <c r="I18" s="155"/>
      <c r="J18" s="155"/>
      <c r="K18" s="155"/>
      <c r="L18" s="156"/>
      <c r="N18" s="12"/>
      <c r="R18" s="214" t="s">
        <v>10</v>
      </c>
      <c r="S18" s="219"/>
      <c r="T18" s="219"/>
      <c r="U18" s="219"/>
      <c r="V18" s="219"/>
      <c r="W18" s="219"/>
      <c r="X18" s="219"/>
      <c r="Y18" s="219"/>
      <c r="Z18" s="219"/>
      <c r="AA18" s="219"/>
      <c r="AB18" s="219"/>
      <c r="AC18" s="215"/>
      <c r="AD18" s="29"/>
      <c r="AE18" s="49"/>
      <c r="AF18" s="214" t="s">
        <v>95</v>
      </c>
      <c r="AG18" s="219"/>
      <c r="AH18" s="219"/>
      <c r="AI18" s="219"/>
      <c r="AJ18" s="219"/>
      <c r="AK18" s="219"/>
      <c r="AL18" s="219"/>
      <c r="AM18" s="219"/>
      <c r="AN18" s="219"/>
      <c r="AO18" s="219"/>
      <c r="AP18" s="219"/>
      <c r="AQ18" s="215"/>
      <c r="AR18" s="29"/>
      <c r="AS18" s="49"/>
    </row>
    <row r="19" spans="1:45" ht="15.75" customHeight="1" thickBot="1" x14ac:dyDescent="0.3">
      <c r="A19" s="6">
        <v>1</v>
      </c>
      <c r="B19" s="7">
        <v>43500</v>
      </c>
      <c r="C19" s="157">
        <v>15</v>
      </c>
      <c r="D19" s="158"/>
      <c r="E19" s="159"/>
      <c r="F19" s="157">
        <v>45</v>
      </c>
      <c r="G19" s="158"/>
      <c r="H19" s="159"/>
      <c r="I19" s="157">
        <v>68</v>
      </c>
      <c r="J19" s="158"/>
      <c r="K19" s="159"/>
      <c r="L19" s="163">
        <v>68</v>
      </c>
      <c r="M19" s="164"/>
      <c r="N19" s="165"/>
      <c r="R19" s="47">
        <v>1</v>
      </c>
      <c r="S19" s="48">
        <v>43834</v>
      </c>
      <c r="T19" s="196">
        <v>6</v>
      </c>
      <c r="U19" s="197"/>
      <c r="V19" s="198"/>
      <c r="W19" s="196">
        <v>15</v>
      </c>
      <c r="X19" s="197"/>
      <c r="Y19" s="198"/>
      <c r="Z19" s="196">
        <v>54</v>
      </c>
      <c r="AA19" s="197"/>
      <c r="AB19" s="198"/>
      <c r="AC19" s="220">
        <v>54</v>
      </c>
      <c r="AD19" s="221"/>
      <c r="AE19" s="222"/>
      <c r="AF19" s="47">
        <v>1</v>
      </c>
      <c r="AG19" s="48">
        <v>43864</v>
      </c>
      <c r="AH19" s="196">
        <v>17</v>
      </c>
      <c r="AI19" s="197"/>
      <c r="AJ19" s="198"/>
      <c r="AK19" s="196">
        <v>47</v>
      </c>
      <c r="AL19" s="197"/>
      <c r="AM19" s="198"/>
      <c r="AN19" s="196">
        <v>83</v>
      </c>
      <c r="AO19" s="197"/>
      <c r="AP19" s="198"/>
      <c r="AQ19" s="220">
        <v>83</v>
      </c>
      <c r="AR19" s="221"/>
      <c r="AS19" s="222"/>
    </row>
    <row r="20" spans="1:45" ht="15.75" thickBot="1" x14ac:dyDescent="0.3">
      <c r="A20" s="6">
        <v>2</v>
      </c>
      <c r="B20" s="7">
        <v>43528</v>
      </c>
      <c r="C20" s="157">
        <v>10</v>
      </c>
      <c r="D20" s="158"/>
      <c r="E20" s="159"/>
      <c r="F20" s="157">
        <v>34</v>
      </c>
      <c r="G20" s="158"/>
      <c r="H20" s="159"/>
      <c r="I20" s="157">
        <v>59</v>
      </c>
      <c r="J20" s="158"/>
      <c r="K20" s="159"/>
      <c r="L20" s="177">
        <v>59</v>
      </c>
      <c r="M20" s="178"/>
      <c r="N20" s="179"/>
      <c r="R20" s="47">
        <v>2</v>
      </c>
      <c r="S20" s="48">
        <v>43865</v>
      </c>
      <c r="T20" s="196">
        <v>4</v>
      </c>
      <c r="U20" s="197"/>
      <c r="V20" s="198"/>
      <c r="W20" s="196">
        <v>9</v>
      </c>
      <c r="X20" s="197"/>
      <c r="Y20" s="198"/>
      <c r="Z20" s="196">
        <v>45</v>
      </c>
      <c r="AA20" s="197"/>
      <c r="AB20" s="198"/>
      <c r="AC20" s="226">
        <v>45</v>
      </c>
      <c r="AD20" s="227"/>
      <c r="AE20" s="228"/>
      <c r="AF20" s="47">
        <v>2</v>
      </c>
      <c r="AG20" s="48">
        <v>43893</v>
      </c>
      <c r="AH20" s="196">
        <v>18</v>
      </c>
      <c r="AI20" s="197"/>
      <c r="AJ20" s="198"/>
      <c r="AK20" s="196">
        <v>51</v>
      </c>
      <c r="AL20" s="197"/>
      <c r="AM20" s="198"/>
      <c r="AN20" s="196">
        <v>65</v>
      </c>
      <c r="AO20" s="197"/>
      <c r="AP20" s="198"/>
      <c r="AQ20" s="223">
        <v>65</v>
      </c>
      <c r="AR20" s="224"/>
      <c r="AS20" s="225"/>
    </row>
    <row r="21" spans="1:45" ht="15.75" thickBot="1" x14ac:dyDescent="0.3">
      <c r="A21" s="6">
        <v>3</v>
      </c>
      <c r="B21" s="7">
        <v>43559</v>
      </c>
      <c r="C21" s="157">
        <v>16</v>
      </c>
      <c r="D21" s="158"/>
      <c r="E21" s="159"/>
      <c r="F21" s="157">
        <v>49</v>
      </c>
      <c r="G21" s="158"/>
      <c r="H21" s="159"/>
      <c r="I21" s="157">
        <v>66</v>
      </c>
      <c r="J21" s="158"/>
      <c r="K21" s="159"/>
      <c r="L21" s="177">
        <v>66</v>
      </c>
      <c r="M21" s="178"/>
      <c r="N21" s="179"/>
      <c r="R21" s="47">
        <v>3</v>
      </c>
      <c r="S21" s="48">
        <v>43894</v>
      </c>
      <c r="T21" s="196">
        <v>6</v>
      </c>
      <c r="U21" s="197"/>
      <c r="V21" s="198"/>
      <c r="W21" s="196">
        <v>13</v>
      </c>
      <c r="X21" s="197"/>
      <c r="Y21" s="198"/>
      <c r="Z21" s="196">
        <v>36</v>
      </c>
      <c r="AA21" s="197"/>
      <c r="AB21" s="198"/>
      <c r="AC21" s="226">
        <v>36</v>
      </c>
      <c r="AD21" s="227"/>
      <c r="AE21" s="228"/>
      <c r="AF21" s="47">
        <v>3</v>
      </c>
      <c r="AG21" s="48">
        <v>43954</v>
      </c>
      <c r="AH21" s="196">
        <v>19</v>
      </c>
      <c r="AI21" s="197"/>
      <c r="AJ21" s="198"/>
      <c r="AK21" s="196">
        <v>53</v>
      </c>
      <c r="AL21" s="197"/>
      <c r="AM21" s="198"/>
      <c r="AN21" s="196">
        <v>85</v>
      </c>
      <c r="AO21" s="197"/>
      <c r="AP21" s="198"/>
      <c r="AQ21" s="223">
        <v>85</v>
      </c>
      <c r="AR21" s="224"/>
      <c r="AS21" s="225"/>
    </row>
    <row r="22" spans="1:45" ht="15.75" customHeight="1" thickBot="1" x14ac:dyDescent="0.3">
      <c r="A22" s="6">
        <v>4</v>
      </c>
      <c r="B22" s="7">
        <v>43589</v>
      </c>
      <c r="C22" s="157">
        <v>11</v>
      </c>
      <c r="D22" s="158"/>
      <c r="E22" s="159"/>
      <c r="F22" s="157">
        <v>34</v>
      </c>
      <c r="G22" s="158"/>
      <c r="H22" s="159"/>
      <c r="I22" s="157">
        <v>61</v>
      </c>
      <c r="J22" s="158"/>
      <c r="K22" s="159"/>
      <c r="L22" s="177">
        <v>61</v>
      </c>
      <c r="M22" s="178"/>
      <c r="N22" s="179"/>
      <c r="R22" s="47">
        <v>4</v>
      </c>
      <c r="S22" s="48">
        <v>43925</v>
      </c>
      <c r="T22" s="196">
        <v>5</v>
      </c>
      <c r="U22" s="197"/>
      <c r="V22" s="198"/>
      <c r="W22" s="196">
        <v>16</v>
      </c>
      <c r="X22" s="197"/>
      <c r="Y22" s="198"/>
      <c r="Z22" s="196">
        <v>51</v>
      </c>
      <c r="AA22" s="197"/>
      <c r="AB22" s="198"/>
      <c r="AC22" s="223">
        <v>51</v>
      </c>
      <c r="AD22" s="224"/>
      <c r="AE22" s="225"/>
      <c r="AF22" s="47">
        <v>4</v>
      </c>
      <c r="AG22" s="48">
        <v>43985</v>
      </c>
      <c r="AH22" s="196">
        <v>15</v>
      </c>
      <c r="AI22" s="197"/>
      <c r="AJ22" s="198"/>
      <c r="AK22" s="196">
        <v>40</v>
      </c>
      <c r="AL22" s="197"/>
      <c r="AM22" s="198"/>
      <c r="AN22" s="196">
        <v>88</v>
      </c>
      <c r="AO22" s="197"/>
      <c r="AP22" s="198"/>
      <c r="AQ22" s="223">
        <v>88</v>
      </c>
      <c r="AR22" s="224"/>
      <c r="AS22" s="225"/>
    </row>
    <row r="23" spans="1:45" ht="15.75" thickBot="1" x14ac:dyDescent="0.3">
      <c r="A23" s="6">
        <v>5</v>
      </c>
      <c r="B23" s="7">
        <v>43620</v>
      </c>
      <c r="C23" s="157">
        <v>11</v>
      </c>
      <c r="D23" s="158"/>
      <c r="E23" s="159"/>
      <c r="F23" s="157">
        <v>35</v>
      </c>
      <c r="G23" s="158"/>
      <c r="H23" s="159"/>
      <c r="I23" s="157">
        <v>69</v>
      </c>
      <c r="J23" s="158"/>
      <c r="K23" s="159"/>
      <c r="L23" s="177">
        <v>69</v>
      </c>
      <c r="M23" s="178"/>
      <c r="N23" s="179"/>
      <c r="R23" s="47">
        <v>5</v>
      </c>
      <c r="S23" s="48">
        <v>43986</v>
      </c>
      <c r="T23" s="196">
        <v>4</v>
      </c>
      <c r="U23" s="197"/>
      <c r="V23" s="198"/>
      <c r="W23" s="196">
        <v>13</v>
      </c>
      <c r="X23" s="197"/>
      <c r="Y23" s="198"/>
      <c r="Z23" s="196">
        <v>49</v>
      </c>
      <c r="AA23" s="197"/>
      <c r="AB23" s="198"/>
      <c r="AC23" s="226">
        <v>49</v>
      </c>
      <c r="AD23" s="227"/>
      <c r="AE23" s="228"/>
      <c r="AF23" s="47">
        <v>5</v>
      </c>
      <c r="AG23" s="48">
        <v>44015</v>
      </c>
      <c r="AH23" s="196">
        <v>14</v>
      </c>
      <c r="AI23" s="197"/>
      <c r="AJ23" s="198"/>
      <c r="AK23" s="196">
        <v>40</v>
      </c>
      <c r="AL23" s="197"/>
      <c r="AM23" s="198"/>
      <c r="AN23" s="196">
        <v>67</v>
      </c>
      <c r="AO23" s="197"/>
      <c r="AP23" s="198"/>
      <c r="AQ23" s="223">
        <v>67</v>
      </c>
      <c r="AR23" s="224"/>
      <c r="AS23" s="225"/>
    </row>
    <row r="24" spans="1:45" ht="15.75" thickBot="1" x14ac:dyDescent="0.3">
      <c r="A24" s="6">
        <v>6</v>
      </c>
      <c r="B24" s="7">
        <v>43650</v>
      </c>
      <c r="C24" s="157">
        <v>10</v>
      </c>
      <c r="D24" s="158"/>
      <c r="E24" s="159"/>
      <c r="F24" s="157">
        <v>32</v>
      </c>
      <c r="G24" s="158"/>
      <c r="H24" s="159"/>
      <c r="I24" s="157">
        <v>55</v>
      </c>
      <c r="J24" s="158"/>
      <c r="K24" s="159"/>
      <c r="L24" s="177">
        <v>55</v>
      </c>
      <c r="M24" s="178"/>
      <c r="N24" s="179"/>
      <c r="R24" s="47">
        <v>6</v>
      </c>
      <c r="S24" s="48">
        <v>44016</v>
      </c>
      <c r="T24" s="196">
        <v>5</v>
      </c>
      <c r="U24" s="197"/>
      <c r="V24" s="198"/>
      <c r="W24" s="196">
        <v>11</v>
      </c>
      <c r="X24" s="197"/>
      <c r="Y24" s="198"/>
      <c r="Z24" s="196">
        <v>55</v>
      </c>
      <c r="AA24" s="197"/>
      <c r="AB24" s="198"/>
      <c r="AC24" s="223">
        <v>55</v>
      </c>
      <c r="AD24" s="224"/>
      <c r="AE24" s="225"/>
      <c r="AF24" s="47">
        <v>6</v>
      </c>
      <c r="AG24" s="48">
        <v>44046</v>
      </c>
      <c r="AH24" s="196">
        <v>12</v>
      </c>
      <c r="AI24" s="197"/>
      <c r="AJ24" s="198"/>
      <c r="AK24" s="196">
        <v>34</v>
      </c>
      <c r="AL24" s="197"/>
      <c r="AM24" s="198"/>
      <c r="AN24" s="196">
        <v>73</v>
      </c>
      <c r="AO24" s="197"/>
      <c r="AP24" s="198"/>
      <c r="AQ24" s="223">
        <v>73</v>
      </c>
      <c r="AR24" s="224"/>
      <c r="AS24" s="225"/>
    </row>
    <row r="25" spans="1:45" ht="15.75" thickBot="1" x14ac:dyDescent="0.3">
      <c r="A25" s="6">
        <v>7</v>
      </c>
      <c r="B25" s="7">
        <v>43681</v>
      </c>
      <c r="C25" s="157">
        <v>13</v>
      </c>
      <c r="D25" s="158"/>
      <c r="E25" s="159"/>
      <c r="F25" s="157">
        <v>41</v>
      </c>
      <c r="G25" s="158"/>
      <c r="H25" s="159"/>
      <c r="I25" s="157">
        <v>74</v>
      </c>
      <c r="J25" s="158"/>
      <c r="K25" s="159"/>
      <c r="L25" s="177">
        <v>74</v>
      </c>
      <c r="M25" s="178"/>
      <c r="N25" s="179"/>
      <c r="R25" s="47">
        <v>7</v>
      </c>
      <c r="S25" s="48">
        <v>44047</v>
      </c>
      <c r="T25" s="196">
        <v>5</v>
      </c>
      <c r="U25" s="197"/>
      <c r="V25" s="198"/>
      <c r="W25" s="196">
        <v>10</v>
      </c>
      <c r="X25" s="197"/>
      <c r="Y25" s="198"/>
      <c r="Z25" s="196">
        <v>44</v>
      </c>
      <c r="AA25" s="197"/>
      <c r="AB25" s="198"/>
      <c r="AC25" s="226">
        <v>44</v>
      </c>
      <c r="AD25" s="227"/>
      <c r="AE25" s="228"/>
      <c r="AF25" s="47">
        <v>7</v>
      </c>
      <c r="AG25" s="48">
        <v>44077</v>
      </c>
      <c r="AH25" s="196">
        <v>10</v>
      </c>
      <c r="AI25" s="197"/>
      <c r="AJ25" s="198"/>
      <c r="AK25" s="196">
        <v>44</v>
      </c>
      <c r="AL25" s="197"/>
      <c r="AM25" s="198"/>
      <c r="AN25" s="196">
        <v>76</v>
      </c>
      <c r="AO25" s="197"/>
      <c r="AP25" s="198"/>
      <c r="AQ25" s="223">
        <v>76</v>
      </c>
      <c r="AR25" s="224"/>
      <c r="AS25" s="225"/>
    </row>
    <row r="26" spans="1:45" ht="15.75" thickBot="1" x14ac:dyDescent="0.3">
      <c r="A26" s="6">
        <v>8</v>
      </c>
      <c r="B26" s="7">
        <v>43712</v>
      </c>
      <c r="C26" s="157">
        <v>14</v>
      </c>
      <c r="D26" s="158"/>
      <c r="E26" s="159"/>
      <c r="F26" s="157">
        <v>41</v>
      </c>
      <c r="G26" s="158"/>
      <c r="H26" s="159"/>
      <c r="I26" s="157">
        <v>79</v>
      </c>
      <c r="J26" s="158"/>
      <c r="K26" s="159"/>
      <c r="L26" s="177">
        <v>79</v>
      </c>
      <c r="M26" s="178"/>
      <c r="N26" s="179"/>
      <c r="R26" s="47">
        <v>8</v>
      </c>
      <c r="S26" s="48">
        <v>44078</v>
      </c>
      <c r="T26" s="196">
        <v>5</v>
      </c>
      <c r="U26" s="197"/>
      <c r="V26" s="198"/>
      <c r="W26" s="196">
        <v>12</v>
      </c>
      <c r="X26" s="197"/>
      <c r="Y26" s="198"/>
      <c r="Z26" s="196">
        <v>51</v>
      </c>
      <c r="AA26" s="197"/>
      <c r="AB26" s="198"/>
      <c r="AC26" s="223">
        <v>51</v>
      </c>
      <c r="AD26" s="224"/>
      <c r="AE26" s="225"/>
      <c r="AF26" s="47">
        <v>8</v>
      </c>
      <c r="AG26" s="48">
        <v>44138</v>
      </c>
      <c r="AH26" s="196">
        <v>14</v>
      </c>
      <c r="AI26" s="197"/>
      <c r="AJ26" s="198"/>
      <c r="AK26" s="196">
        <v>43</v>
      </c>
      <c r="AL26" s="197"/>
      <c r="AM26" s="198"/>
      <c r="AN26" s="196">
        <v>72</v>
      </c>
      <c r="AO26" s="197"/>
      <c r="AP26" s="198"/>
      <c r="AQ26" s="223">
        <v>72</v>
      </c>
      <c r="AR26" s="224"/>
      <c r="AS26" s="225"/>
    </row>
    <row r="27" spans="1:45" ht="15.75" thickBot="1" x14ac:dyDescent="0.3">
      <c r="A27" s="6">
        <v>9</v>
      </c>
      <c r="B27" s="7">
        <v>43742</v>
      </c>
      <c r="C27" s="157">
        <v>12</v>
      </c>
      <c r="D27" s="158"/>
      <c r="E27" s="159"/>
      <c r="F27" s="157">
        <v>37</v>
      </c>
      <c r="G27" s="158"/>
      <c r="H27" s="159"/>
      <c r="I27" s="157">
        <v>65</v>
      </c>
      <c r="J27" s="158"/>
      <c r="K27" s="159"/>
      <c r="L27" s="177">
        <v>65</v>
      </c>
      <c r="M27" s="178"/>
      <c r="N27" s="179"/>
      <c r="R27" s="47">
        <v>9</v>
      </c>
      <c r="S27" s="48">
        <v>44108</v>
      </c>
      <c r="T27" s="196">
        <v>5</v>
      </c>
      <c r="U27" s="197"/>
      <c r="V27" s="198"/>
      <c r="W27" s="196">
        <v>10</v>
      </c>
      <c r="X27" s="197"/>
      <c r="Y27" s="198"/>
      <c r="Z27" s="196">
        <v>56</v>
      </c>
      <c r="AA27" s="197"/>
      <c r="AB27" s="198"/>
      <c r="AC27" s="223">
        <v>56</v>
      </c>
      <c r="AD27" s="224"/>
      <c r="AE27" s="225"/>
      <c r="AF27" s="47">
        <v>9</v>
      </c>
      <c r="AG27" s="48">
        <v>44168</v>
      </c>
      <c r="AH27" s="196">
        <v>12</v>
      </c>
      <c r="AI27" s="197"/>
      <c r="AJ27" s="198"/>
      <c r="AK27" s="196">
        <v>37</v>
      </c>
      <c r="AL27" s="197"/>
      <c r="AM27" s="198"/>
      <c r="AN27" s="196">
        <v>62</v>
      </c>
      <c r="AO27" s="197"/>
      <c r="AP27" s="198"/>
      <c r="AQ27" s="223">
        <v>62</v>
      </c>
      <c r="AR27" s="224"/>
      <c r="AS27" s="225"/>
    </row>
    <row r="28" spans="1:45" ht="26.25" thickBot="1" x14ac:dyDescent="0.3">
      <c r="A28" s="6">
        <v>10</v>
      </c>
      <c r="B28" s="7">
        <v>43773</v>
      </c>
      <c r="C28" s="157">
        <v>11</v>
      </c>
      <c r="D28" s="158"/>
      <c r="E28" s="159"/>
      <c r="F28" s="157">
        <v>37</v>
      </c>
      <c r="G28" s="158"/>
      <c r="H28" s="159"/>
      <c r="I28" s="157">
        <v>57</v>
      </c>
      <c r="J28" s="158"/>
      <c r="K28" s="159"/>
      <c r="L28" s="177">
        <v>57</v>
      </c>
      <c r="M28" s="178"/>
      <c r="N28" s="179"/>
      <c r="R28" s="47">
        <v>10</v>
      </c>
      <c r="S28" s="48">
        <v>44139</v>
      </c>
      <c r="T28" s="196">
        <v>5</v>
      </c>
      <c r="U28" s="197"/>
      <c r="V28" s="198"/>
      <c r="W28" s="196">
        <v>10</v>
      </c>
      <c r="X28" s="197"/>
      <c r="Y28" s="198"/>
      <c r="Z28" s="196">
        <v>66</v>
      </c>
      <c r="AA28" s="197"/>
      <c r="AB28" s="198"/>
      <c r="AC28" s="223">
        <v>66</v>
      </c>
      <c r="AD28" s="224"/>
      <c r="AE28" s="225"/>
      <c r="AF28" s="47">
        <v>10</v>
      </c>
      <c r="AG28" s="47" t="s">
        <v>96</v>
      </c>
      <c r="AH28" s="196">
        <v>12</v>
      </c>
      <c r="AI28" s="197"/>
      <c r="AJ28" s="198"/>
      <c r="AK28" s="196">
        <v>35</v>
      </c>
      <c r="AL28" s="197"/>
      <c r="AM28" s="198"/>
      <c r="AN28" s="196">
        <v>63</v>
      </c>
      <c r="AO28" s="197"/>
      <c r="AP28" s="198"/>
      <c r="AQ28" s="223">
        <v>63</v>
      </c>
      <c r="AR28" s="224"/>
      <c r="AS28" s="225"/>
    </row>
    <row r="29" spans="1:45" ht="26.25" thickBot="1" x14ac:dyDescent="0.3">
      <c r="A29" s="6">
        <v>11</v>
      </c>
      <c r="B29" s="7">
        <v>43803</v>
      </c>
      <c r="C29" s="157">
        <v>17</v>
      </c>
      <c r="D29" s="158"/>
      <c r="E29" s="159"/>
      <c r="F29" s="157">
        <v>51</v>
      </c>
      <c r="G29" s="158"/>
      <c r="H29" s="159"/>
      <c r="I29" s="157">
        <v>64</v>
      </c>
      <c r="J29" s="158"/>
      <c r="K29" s="159"/>
      <c r="L29" s="177">
        <v>64</v>
      </c>
      <c r="M29" s="178"/>
      <c r="N29" s="179"/>
      <c r="R29" s="47">
        <v>11</v>
      </c>
      <c r="S29" s="47" t="s">
        <v>75</v>
      </c>
      <c r="T29" s="196">
        <v>5</v>
      </c>
      <c r="U29" s="197"/>
      <c r="V29" s="198"/>
      <c r="W29" s="196">
        <v>12</v>
      </c>
      <c r="X29" s="197"/>
      <c r="Y29" s="198"/>
      <c r="Z29" s="196">
        <v>59</v>
      </c>
      <c r="AA29" s="197"/>
      <c r="AB29" s="198"/>
      <c r="AC29" s="223">
        <v>59</v>
      </c>
      <c r="AD29" s="224"/>
      <c r="AE29" s="225"/>
      <c r="AF29" s="47">
        <v>11</v>
      </c>
      <c r="AG29" s="47" t="s">
        <v>97</v>
      </c>
      <c r="AH29" s="196">
        <v>11</v>
      </c>
      <c r="AI29" s="197"/>
      <c r="AJ29" s="198"/>
      <c r="AK29" s="196">
        <v>34</v>
      </c>
      <c r="AL29" s="197"/>
      <c r="AM29" s="198"/>
      <c r="AN29" s="196">
        <v>71</v>
      </c>
      <c r="AO29" s="197"/>
      <c r="AP29" s="198"/>
      <c r="AQ29" s="223">
        <v>71</v>
      </c>
      <c r="AR29" s="224"/>
      <c r="AS29" s="225"/>
    </row>
    <row r="30" spans="1:45" ht="26.25" thickBot="1" x14ac:dyDescent="0.3">
      <c r="A30" s="6">
        <v>12</v>
      </c>
      <c r="B30" s="6" t="s">
        <v>11</v>
      </c>
      <c r="C30" s="157">
        <v>15</v>
      </c>
      <c r="D30" s="158"/>
      <c r="E30" s="159"/>
      <c r="F30" s="157">
        <v>46</v>
      </c>
      <c r="G30" s="158"/>
      <c r="H30" s="159"/>
      <c r="I30" s="157">
        <v>60</v>
      </c>
      <c r="J30" s="158"/>
      <c r="K30" s="159"/>
      <c r="L30" s="177">
        <v>60</v>
      </c>
      <c r="M30" s="178"/>
      <c r="N30" s="179"/>
      <c r="R30" s="47">
        <v>12</v>
      </c>
      <c r="S30" s="47" t="s">
        <v>76</v>
      </c>
      <c r="T30" s="196">
        <v>5</v>
      </c>
      <c r="U30" s="197"/>
      <c r="V30" s="198"/>
      <c r="W30" s="196">
        <v>13</v>
      </c>
      <c r="X30" s="197"/>
      <c r="Y30" s="198"/>
      <c r="Z30" s="196">
        <v>50</v>
      </c>
      <c r="AA30" s="197"/>
      <c r="AB30" s="198"/>
      <c r="AC30" s="29"/>
      <c r="AD30" s="29"/>
      <c r="AE30" s="49"/>
      <c r="AF30" s="47">
        <v>12</v>
      </c>
      <c r="AG30" s="47" t="s">
        <v>98</v>
      </c>
      <c r="AH30" s="196">
        <v>13</v>
      </c>
      <c r="AI30" s="197"/>
      <c r="AJ30" s="198"/>
      <c r="AK30" s="196">
        <v>39</v>
      </c>
      <c r="AL30" s="197"/>
      <c r="AM30" s="198"/>
      <c r="AN30" s="196">
        <v>62</v>
      </c>
      <c r="AO30" s="197"/>
      <c r="AP30" s="198"/>
      <c r="AQ30" s="223">
        <v>62</v>
      </c>
      <c r="AR30" s="224"/>
      <c r="AS30" s="225"/>
    </row>
    <row r="31" spans="1:45" ht="26.25" thickBot="1" x14ac:dyDescent="0.3">
      <c r="A31" s="6">
        <v>13</v>
      </c>
      <c r="B31" s="6" t="s">
        <v>67</v>
      </c>
      <c r="C31" s="157">
        <v>14</v>
      </c>
      <c r="D31" s="158"/>
      <c r="E31" s="159"/>
      <c r="F31" s="157">
        <v>45</v>
      </c>
      <c r="G31" s="158"/>
      <c r="H31" s="159"/>
      <c r="I31" s="157">
        <v>67</v>
      </c>
      <c r="J31" s="158"/>
      <c r="K31" s="159"/>
      <c r="L31" s="177">
        <v>67</v>
      </c>
      <c r="M31" s="178"/>
      <c r="N31" s="179"/>
      <c r="R31" s="47">
        <v>13</v>
      </c>
      <c r="S31" s="47" t="s">
        <v>77</v>
      </c>
      <c r="T31" s="196">
        <v>5</v>
      </c>
      <c r="U31" s="197"/>
      <c r="V31" s="198"/>
      <c r="W31" s="196">
        <v>14</v>
      </c>
      <c r="X31" s="197"/>
      <c r="Y31" s="198"/>
      <c r="Z31" s="196">
        <v>44</v>
      </c>
      <c r="AA31" s="197"/>
      <c r="AB31" s="198"/>
      <c r="AC31" s="229">
        <v>44</v>
      </c>
      <c r="AD31" s="230"/>
      <c r="AE31" s="231"/>
      <c r="AF31" s="47">
        <v>13</v>
      </c>
      <c r="AG31" s="47" t="s">
        <v>99</v>
      </c>
      <c r="AH31" s="196">
        <v>12</v>
      </c>
      <c r="AI31" s="197"/>
      <c r="AJ31" s="198"/>
      <c r="AK31" s="196">
        <v>37</v>
      </c>
      <c r="AL31" s="197"/>
      <c r="AM31" s="198"/>
      <c r="AN31" s="196">
        <v>57</v>
      </c>
      <c r="AO31" s="197"/>
      <c r="AP31" s="198"/>
      <c r="AQ31" s="223">
        <v>57</v>
      </c>
      <c r="AR31" s="224"/>
      <c r="AS31" s="225"/>
    </row>
    <row r="32" spans="1:45" ht="26.25" thickBot="1" x14ac:dyDescent="0.3">
      <c r="A32" s="6">
        <v>14</v>
      </c>
      <c r="B32" s="6" t="s">
        <v>50</v>
      </c>
      <c r="C32" s="157">
        <v>13</v>
      </c>
      <c r="D32" s="158"/>
      <c r="E32" s="159"/>
      <c r="F32" s="157">
        <v>39</v>
      </c>
      <c r="G32" s="158"/>
      <c r="H32" s="159"/>
      <c r="I32" s="157">
        <v>74</v>
      </c>
      <c r="J32" s="158"/>
      <c r="K32" s="159"/>
      <c r="L32" s="177">
        <v>74</v>
      </c>
      <c r="M32" s="178"/>
      <c r="N32" s="179"/>
      <c r="R32" s="47">
        <v>14</v>
      </c>
      <c r="S32" s="47" t="s">
        <v>78</v>
      </c>
      <c r="T32" s="196">
        <v>6</v>
      </c>
      <c r="U32" s="197"/>
      <c r="V32" s="198"/>
      <c r="W32" s="196">
        <v>17</v>
      </c>
      <c r="X32" s="197"/>
      <c r="Y32" s="198"/>
      <c r="Z32" s="196">
        <v>55</v>
      </c>
      <c r="AA32" s="197"/>
      <c r="AB32" s="198"/>
      <c r="AC32" s="223">
        <v>55</v>
      </c>
      <c r="AD32" s="224"/>
      <c r="AE32" s="225"/>
      <c r="AF32" s="47">
        <v>14</v>
      </c>
      <c r="AG32" s="47" t="s">
        <v>100</v>
      </c>
      <c r="AH32" s="196">
        <v>11</v>
      </c>
      <c r="AI32" s="197"/>
      <c r="AJ32" s="198"/>
      <c r="AK32" s="196">
        <v>48</v>
      </c>
      <c r="AL32" s="197"/>
      <c r="AM32" s="198"/>
      <c r="AN32" s="196">
        <v>70</v>
      </c>
      <c r="AO32" s="197"/>
      <c r="AP32" s="198"/>
      <c r="AQ32" s="223">
        <v>70</v>
      </c>
      <c r="AR32" s="224"/>
      <c r="AS32" s="225"/>
    </row>
    <row r="33" spans="1:45" ht="26.25" thickBot="1" x14ac:dyDescent="0.3">
      <c r="A33" s="6">
        <v>15</v>
      </c>
      <c r="B33" s="6" t="s">
        <v>58</v>
      </c>
      <c r="C33" s="157">
        <v>17</v>
      </c>
      <c r="D33" s="158"/>
      <c r="E33" s="159"/>
      <c r="F33" s="157">
        <v>50</v>
      </c>
      <c r="G33" s="158"/>
      <c r="H33" s="159"/>
      <c r="I33" s="157">
        <v>76</v>
      </c>
      <c r="J33" s="158"/>
      <c r="K33" s="159"/>
      <c r="L33" s="177">
        <v>76</v>
      </c>
      <c r="M33" s="178"/>
      <c r="N33" s="179"/>
      <c r="R33" s="47">
        <v>15</v>
      </c>
      <c r="S33" s="47" t="s">
        <v>79</v>
      </c>
      <c r="T33" s="196">
        <v>5</v>
      </c>
      <c r="U33" s="197"/>
      <c r="V33" s="198"/>
      <c r="W33" s="196">
        <v>13</v>
      </c>
      <c r="X33" s="197"/>
      <c r="Y33" s="198"/>
      <c r="Z33" s="196">
        <v>45</v>
      </c>
      <c r="AA33" s="197"/>
      <c r="AB33" s="198"/>
      <c r="AC33" s="226">
        <v>45</v>
      </c>
      <c r="AD33" s="227"/>
      <c r="AE33" s="228"/>
      <c r="AF33" s="47">
        <v>15</v>
      </c>
      <c r="AG33" s="47" t="s">
        <v>101</v>
      </c>
      <c r="AH33" s="196">
        <v>11</v>
      </c>
      <c r="AI33" s="197"/>
      <c r="AJ33" s="198"/>
      <c r="AK33" s="196">
        <v>35</v>
      </c>
      <c r="AL33" s="197"/>
      <c r="AM33" s="198"/>
      <c r="AN33" s="196">
        <v>67</v>
      </c>
      <c r="AO33" s="197"/>
      <c r="AP33" s="198"/>
      <c r="AQ33" s="223">
        <v>67</v>
      </c>
      <c r="AR33" s="224"/>
      <c r="AS33" s="225"/>
    </row>
    <row r="34" spans="1:45" ht="26.25" thickBot="1" x14ac:dyDescent="0.3">
      <c r="A34" s="6">
        <v>16</v>
      </c>
      <c r="B34" s="6" t="s">
        <v>12</v>
      </c>
      <c r="C34" s="157">
        <v>15</v>
      </c>
      <c r="D34" s="158"/>
      <c r="E34" s="159"/>
      <c r="F34" s="157">
        <v>41</v>
      </c>
      <c r="G34" s="158"/>
      <c r="H34" s="159"/>
      <c r="I34" s="157">
        <v>70</v>
      </c>
      <c r="J34" s="158"/>
      <c r="K34" s="159"/>
      <c r="L34" s="177">
        <v>70</v>
      </c>
      <c r="M34" s="178"/>
      <c r="N34" s="179"/>
      <c r="R34" s="47">
        <v>16</v>
      </c>
      <c r="S34" s="47" t="s">
        <v>80</v>
      </c>
      <c r="T34" s="196">
        <v>5</v>
      </c>
      <c r="U34" s="197"/>
      <c r="V34" s="198"/>
      <c r="W34" s="196">
        <v>12</v>
      </c>
      <c r="X34" s="197"/>
      <c r="Y34" s="198"/>
      <c r="Z34" s="196">
        <v>40</v>
      </c>
      <c r="AA34" s="197"/>
      <c r="AB34" s="198"/>
      <c r="AC34" s="226">
        <v>40</v>
      </c>
      <c r="AD34" s="227"/>
      <c r="AE34" s="228"/>
      <c r="AF34" s="47">
        <v>16</v>
      </c>
      <c r="AG34" s="47" t="s">
        <v>102</v>
      </c>
      <c r="AH34" s="196">
        <v>7</v>
      </c>
      <c r="AI34" s="197"/>
      <c r="AJ34" s="198"/>
      <c r="AK34" s="196">
        <v>29</v>
      </c>
      <c r="AL34" s="197"/>
      <c r="AM34" s="198"/>
      <c r="AN34" s="196">
        <v>63</v>
      </c>
      <c r="AO34" s="197"/>
      <c r="AP34" s="198"/>
      <c r="AQ34" s="223">
        <v>63</v>
      </c>
      <c r="AR34" s="224"/>
      <c r="AS34" s="225"/>
    </row>
    <row r="35" spans="1:45" ht="26.25" thickBot="1" x14ac:dyDescent="0.3">
      <c r="A35" s="6">
        <v>17</v>
      </c>
      <c r="B35" s="6" t="s">
        <v>52</v>
      </c>
      <c r="C35" s="157">
        <v>11</v>
      </c>
      <c r="D35" s="158"/>
      <c r="E35" s="159"/>
      <c r="F35" s="157">
        <v>37</v>
      </c>
      <c r="G35" s="158"/>
      <c r="H35" s="159"/>
      <c r="I35" s="157">
        <v>71</v>
      </c>
      <c r="J35" s="158"/>
      <c r="K35" s="159"/>
      <c r="L35" s="177">
        <v>71</v>
      </c>
      <c r="M35" s="178"/>
      <c r="N35" s="179"/>
      <c r="R35" s="47">
        <v>17</v>
      </c>
      <c r="S35" s="47" t="s">
        <v>81</v>
      </c>
      <c r="T35" s="196">
        <v>4</v>
      </c>
      <c r="U35" s="197"/>
      <c r="V35" s="198"/>
      <c r="W35" s="196">
        <v>9</v>
      </c>
      <c r="X35" s="197"/>
      <c r="Y35" s="198"/>
      <c r="Z35" s="196">
        <v>35</v>
      </c>
      <c r="AA35" s="197"/>
      <c r="AB35" s="198"/>
      <c r="AC35" s="226">
        <v>35</v>
      </c>
      <c r="AD35" s="227"/>
      <c r="AE35" s="228"/>
      <c r="AF35" s="47">
        <v>17</v>
      </c>
      <c r="AG35" s="47" t="s">
        <v>103</v>
      </c>
      <c r="AH35" s="196">
        <v>10</v>
      </c>
      <c r="AI35" s="197"/>
      <c r="AJ35" s="198"/>
      <c r="AK35" s="196">
        <v>32</v>
      </c>
      <c r="AL35" s="197"/>
      <c r="AM35" s="198"/>
      <c r="AN35" s="196">
        <v>59</v>
      </c>
      <c r="AO35" s="197"/>
      <c r="AP35" s="198"/>
      <c r="AQ35" s="223">
        <v>59</v>
      </c>
      <c r="AR35" s="224"/>
      <c r="AS35" s="225"/>
    </row>
    <row r="36" spans="1:45" ht="26.25" thickBot="1" x14ac:dyDescent="0.3">
      <c r="A36" s="6">
        <v>18</v>
      </c>
      <c r="B36" s="6" t="s">
        <v>60</v>
      </c>
      <c r="C36" s="157">
        <v>17</v>
      </c>
      <c r="D36" s="158"/>
      <c r="E36" s="159"/>
      <c r="F36" s="157">
        <v>48</v>
      </c>
      <c r="G36" s="158"/>
      <c r="H36" s="159"/>
      <c r="I36" s="157">
        <v>67</v>
      </c>
      <c r="J36" s="158"/>
      <c r="K36" s="159"/>
      <c r="L36" s="177">
        <v>67</v>
      </c>
      <c r="M36" s="178"/>
      <c r="N36" s="179"/>
      <c r="R36" s="47">
        <v>18</v>
      </c>
      <c r="S36" s="47" t="s">
        <v>82</v>
      </c>
      <c r="T36" s="196">
        <v>4</v>
      </c>
      <c r="U36" s="197"/>
      <c r="V36" s="198"/>
      <c r="W36" s="196">
        <v>9</v>
      </c>
      <c r="X36" s="197"/>
      <c r="Y36" s="198"/>
      <c r="Z36" s="196">
        <v>37</v>
      </c>
      <c r="AA36" s="197"/>
      <c r="AB36" s="198"/>
      <c r="AC36" s="226">
        <v>37</v>
      </c>
      <c r="AD36" s="227"/>
      <c r="AE36" s="228"/>
      <c r="AF36" s="47">
        <v>18</v>
      </c>
      <c r="AG36" s="47" t="s">
        <v>104</v>
      </c>
      <c r="AH36" s="196">
        <v>10</v>
      </c>
      <c r="AI36" s="197"/>
      <c r="AJ36" s="198"/>
      <c r="AK36" s="196">
        <v>35</v>
      </c>
      <c r="AL36" s="197"/>
      <c r="AM36" s="198"/>
      <c r="AN36" s="196">
        <v>56</v>
      </c>
      <c r="AO36" s="197"/>
      <c r="AP36" s="198"/>
      <c r="AQ36" s="223">
        <v>56</v>
      </c>
      <c r="AR36" s="224"/>
      <c r="AS36" s="225"/>
    </row>
    <row r="37" spans="1:45" ht="26.25" thickBot="1" x14ac:dyDescent="0.3">
      <c r="A37" s="6">
        <v>19</v>
      </c>
      <c r="B37" s="6" t="s">
        <v>14</v>
      </c>
      <c r="C37" s="157">
        <v>16</v>
      </c>
      <c r="D37" s="158"/>
      <c r="E37" s="159"/>
      <c r="F37" s="157">
        <v>47</v>
      </c>
      <c r="G37" s="158"/>
      <c r="H37" s="159"/>
      <c r="I37" s="157">
        <v>81</v>
      </c>
      <c r="J37" s="158"/>
      <c r="K37" s="159"/>
      <c r="L37" s="177">
        <v>81</v>
      </c>
      <c r="M37" s="178"/>
      <c r="N37" s="179"/>
      <c r="R37" s="47">
        <v>19</v>
      </c>
      <c r="S37" s="47" t="s">
        <v>83</v>
      </c>
      <c r="T37" s="196">
        <v>5</v>
      </c>
      <c r="U37" s="197"/>
      <c r="V37" s="198"/>
      <c r="W37" s="196">
        <v>12</v>
      </c>
      <c r="X37" s="197"/>
      <c r="Y37" s="198"/>
      <c r="Z37" s="196">
        <v>36</v>
      </c>
      <c r="AA37" s="197"/>
      <c r="AB37" s="198"/>
      <c r="AC37" s="226">
        <v>36</v>
      </c>
      <c r="AD37" s="227"/>
      <c r="AE37" s="228"/>
      <c r="AF37" s="47">
        <v>19</v>
      </c>
      <c r="AG37" s="47" t="s">
        <v>105</v>
      </c>
      <c r="AH37" s="196">
        <v>8</v>
      </c>
      <c r="AI37" s="197"/>
      <c r="AJ37" s="198"/>
      <c r="AK37" s="196">
        <v>25</v>
      </c>
      <c r="AL37" s="197"/>
      <c r="AM37" s="198"/>
      <c r="AN37" s="196">
        <v>65</v>
      </c>
      <c r="AO37" s="197"/>
      <c r="AP37" s="198"/>
      <c r="AQ37" s="223">
        <v>65</v>
      </c>
      <c r="AR37" s="224"/>
      <c r="AS37" s="225"/>
    </row>
    <row r="38" spans="1:45" ht="26.25" thickBot="1" x14ac:dyDescent="0.3">
      <c r="A38" s="6">
        <v>20</v>
      </c>
      <c r="B38" s="6" t="s">
        <v>53</v>
      </c>
      <c r="C38" s="157">
        <v>18</v>
      </c>
      <c r="D38" s="158"/>
      <c r="E38" s="159"/>
      <c r="F38" s="157">
        <v>54</v>
      </c>
      <c r="G38" s="158"/>
      <c r="H38" s="159"/>
      <c r="I38" s="157">
        <v>85</v>
      </c>
      <c r="J38" s="158"/>
      <c r="K38" s="159"/>
      <c r="L38" s="177">
        <v>85</v>
      </c>
      <c r="M38" s="178"/>
      <c r="N38" s="179"/>
      <c r="R38" s="47">
        <v>20</v>
      </c>
      <c r="S38" s="47" t="s">
        <v>84</v>
      </c>
      <c r="T38" s="196">
        <v>4</v>
      </c>
      <c r="U38" s="197"/>
      <c r="V38" s="198"/>
      <c r="W38" s="196">
        <v>10</v>
      </c>
      <c r="X38" s="197"/>
      <c r="Y38" s="198"/>
      <c r="Z38" s="196">
        <v>39</v>
      </c>
      <c r="AA38" s="197"/>
      <c r="AB38" s="198"/>
      <c r="AC38" s="226">
        <v>39</v>
      </c>
      <c r="AD38" s="227"/>
      <c r="AE38" s="228"/>
      <c r="AF38" s="47">
        <v>20</v>
      </c>
      <c r="AG38" s="47" t="s">
        <v>106</v>
      </c>
      <c r="AH38" s="196">
        <v>5</v>
      </c>
      <c r="AI38" s="197"/>
      <c r="AJ38" s="198"/>
      <c r="AK38" s="196">
        <v>18</v>
      </c>
      <c r="AL38" s="197"/>
      <c r="AM38" s="198"/>
      <c r="AN38" s="196">
        <v>77</v>
      </c>
      <c r="AO38" s="197"/>
      <c r="AP38" s="198"/>
      <c r="AQ38" s="223">
        <v>77</v>
      </c>
      <c r="AR38" s="224"/>
      <c r="AS38" s="225"/>
    </row>
    <row r="39" spans="1:45" ht="26.25" thickBot="1" x14ac:dyDescent="0.3">
      <c r="A39" s="6">
        <v>21</v>
      </c>
      <c r="B39" s="6" t="s">
        <v>61</v>
      </c>
      <c r="C39" s="157">
        <v>20</v>
      </c>
      <c r="D39" s="158"/>
      <c r="E39" s="159"/>
      <c r="F39" s="157">
        <v>51</v>
      </c>
      <c r="G39" s="158"/>
      <c r="H39" s="159"/>
      <c r="I39" s="160">
        <v>118</v>
      </c>
      <c r="J39" s="161"/>
      <c r="K39" s="162"/>
      <c r="L39" s="193">
        <v>112</v>
      </c>
      <c r="M39" s="194"/>
      <c r="N39" s="195"/>
      <c r="R39" s="47">
        <v>21</v>
      </c>
      <c r="S39" s="47" t="s">
        <v>85</v>
      </c>
      <c r="T39" s="196">
        <v>6</v>
      </c>
      <c r="U39" s="197"/>
      <c r="V39" s="198"/>
      <c r="W39" s="196">
        <v>13</v>
      </c>
      <c r="X39" s="197"/>
      <c r="Y39" s="198"/>
      <c r="Z39" s="196">
        <v>46</v>
      </c>
      <c r="AA39" s="197"/>
      <c r="AB39" s="198"/>
      <c r="AC39" s="226">
        <v>46</v>
      </c>
      <c r="AD39" s="227"/>
      <c r="AE39" s="228"/>
      <c r="AF39" s="47">
        <v>21</v>
      </c>
      <c r="AG39" s="47" t="s">
        <v>107</v>
      </c>
      <c r="AH39" s="196">
        <v>8</v>
      </c>
      <c r="AI39" s="197"/>
      <c r="AJ39" s="198"/>
      <c r="AK39" s="196">
        <v>19</v>
      </c>
      <c r="AL39" s="197"/>
      <c r="AM39" s="198"/>
      <c r="AN39" s="196">
        <v>88</v>
      </c>
      <c r="AO39" s="197"/>
      <c r="AP39" s="198"/>
      <c r="AQ39" s="223">
        <v>88</v>
      </c>
      <c r="AR39" s="224"/>
      <c r="AS39" s="225"/>
    </row>
    <row r="40" spans="1:45" ht="26.25" thickBot="1" x14ac:dyDescent="0.3">
      <c r="A40" s="6">
        <v>22</v>
      </c>
      <c r="B40" s="6" t="s">
        <v>54</v>
      </c>
      <c r="C40" s="157">
        <v>11</v>
      </c>
      <c r="D40" s="158"/>
      <c r="E40" s="159"/>
      <c r="F40" s="157">
        <v>35</v>
      </c>
      <c r="G40" s="158"/>
      <c r="H40" s="159"/>
      <c r="I40" s="157">
        <v>73</v>
      </c>
      <c r="J40" s="158"/>
      <c r="K40" s="159"/>
      <c r="L40" s="177">
        <v>73</v>
      </c>
      <c r="M40" s="178"/>
      <c r="N40" s="179"/>
      <c r="R40" s="47">
        <v>22</v>
      </c>
      <c r="S40" s="47" t="s">
        <v>86</v>
      </c>
      <c r="T40" s="196">
        <v>6</v>
      </c>
      <c r="U40" s="197"/>
      <c r="V40" s="198"/>
      <c r="W40" s="196">
        <v>12</v>
      </c>
      <c r="X40" s="197"/>
      <c r="Y40" s="198"/>
      <c r="Z40" s="196">
        <v>43</v>
      </c>
      <c r="AA40" s="197"/>
      <c r="AB40" s="198"/>
      <c r="AC40" s="226">
        <v>43</v>
      </c>
      <c r="AD40" s="227"/>
      <c r="AE40" s="228"/>
      <c r="AF40" s="47">
        <v>22</v>
      </c>
      <c r="AG40" s="47" t="s">
        <v>108</v>
      </c>
      <c r="AH40" s="196">
        <v>4</v>
      </c>
      <c r="AI40" s="197"/>
      <c r="AJ40" s="198"/>
      <c r="AK40" s="196">
        <v>11</v>
      </c>
      <c r="AL40" s="197"/>
      <c r="AM40" s="198"/>
      <c r="AN40" s="196">
        <v>80</v>
      </c>
      <c r="AO40" s="197"/>
      <c r="AP40" s="198"/>
      <c r="AQ40" s="223">
        <v>80</v>
      </c>
      <c r="AR40" s="224"/>
      <c r="AS40" s="225"/>
    </row>
    <row r="41" spans="1:45" ht="26.25" thickBot="1" x14ac:dyDescent="0.3">
      <c r="A41" s="6">
        <v>23</v>
      </c>
      <c r="B41" s="6" t="s">
        <v>62</v>
      </c>
      <c r="C41" s="157">
        <v>12</v>
      </c>
      <c r="D41" s="158"/>
      <c r="E41" s="159"/>
      <c r="F41" s="157">
        <v>36</v>
      </c>
      <c r="G41" s="158"/>
      <c r="H41" s="159"/>
      <c r="I41" s="157">
        <v>84</v>
      </c>
      <c r="J41" s="158"/>
      <c r="K41" s="159"/>
      <c r="L41" s="177">
        <v>84</v>
      </c>
      <c r="M41" s="178"/>
      <c r="N41" s="179"/>
      <c r="R41" s="47">
        <v>23</v>
      </c>
      <c r="S41" s="47" t="s">
        <v>87</v>
      </c>
      <c r="T41" s="196">
        <v>5</v>
      </c>
      <c r="U41" s="197"/>
      <c r="V41" s="198"/>
      <c r="W41" s="196">
        <v>12</v>
      </c>
      <c r="X41" s="197"/>
      <c r="Y41" s="198"/>
      <c r="Z41" s="196">
        <v>48</v>
      </c>
      <c r="AA41" s="197"/>
      <c r="AB41" s="198"/>
      <c r="AC41" s="226">
        <v>48</v>
      </c>
      <c r="AD41" s="227"/>
      <c r="AE41" s="228"/>
      <c r="AF41" s="47">
        <v>23</v>
      </c>
      <c r="AG41" s="47" t="s">
        <v>109</v>
      </c>
      <c r="AH41" s="196">
        <v>5</v>
      </c>
      <c r="AI41" s="197"/>
      <c r="AJ41" s="198"/>
      <c r="AK41" s="196">
        <v>14</v>
      </c>
      <c r="AL41" s="197"/>
      <c r="AM41" s="198"/>
      <c r="AN41" s="196">
        <v>65</v>
      </c>
      <c r="AO41" s="197"/>
      <c r="AP41" s="198"/>
      <c r="AQ41" s="223">
        <v>65</v>
      </c>
      <c r="AR41" s="224"/>
      <c r="AS41" s="225"/>
    </row>
    <row r="42" spans="1:45" ht="26.25" thickBot="1" x14ac:dyDescent="0.3">
      <c r="A42" s="9" t="s">
        <v>16</v>
      </c>
      <c r="B42" s="2"/>
      <c r="C42" s="9" t="s">
        <v>17</v>
      </c>
      <c r="D42" s="9" t="s">
        <v>18</v>
      </c>
      <c r="E42" s="9" t="s">
        <v>19</v>
      </c>
      <c r="F42" s="9" t="s">
        <v>17</v>
      </c>
      <c r="G42" s="9" t="s">
        <v>18</v>
      </c>
      <c r="H42" s="9" t="s">
        <v>19</v>
      </c>
      <c r="I42" s="9" t="s">
        <v>17</v>
      </c>
      <c r="J42" s="9" t="s">
        <v>18</v>
      </c>
      <c r="K42" s="9" t="s">
        <v>19</v>
      </c>
      <c r="N42" s="12"/>
      <c r="R42" s="47">
        <v>24</v>
      </c>
      <c r="S42" s="47" t="s">
        <v>88</v>
      </c>
      <c r="T42" s="196">
        <v>5</v>
      </c>
      <c r="U42" s="197"/>
      <c r="V42" s="198"/>
      <c r="W42" s="196">
        <v>11</v>
      </c>
      <c r="X42" s="197"/>
      <c r="Y42" s="198"/>
      <c r="Z42" s="196">
        <v>59</v>
      </c>
      <c r="AA42" s="197"/>
      <c r="AB42" s="198"/>
      <c r="AC42" s="223">
        <v>59</v>
      </c>
      <c r="AD42" s="224"/>
      <c r="AE42" s="225"/>
      <c r="AF42" s="9" t="s">
        <v>16</v>
      </c>
      <c r="AG42" s="45"/>
      <c r="AH42" s="9" t="s">
        <v>17</v>
      </c>
      <c r="AI42" s="9" t="s">
        <v>18</v>
      </c>
      <c r="AJ42" s="9" t="s">
        <v>19</v>
      </c>
      <c r="AK42" s="9" t="s">
        <v>17</v>
      </c>
      <c r="AL42" s="9" t="s">
        <v>18</v>
      </c>
      <c r="AM42" s="9" t="s">
        <v>19</v>
      </c>
      <c r="AN42" s="9" t="s">
        <v>17</v>
      </c>
      <c r="AO42" s="9" t="s">
        <v>18</v>
      </c>
      <c r="AP42" s="9" t="s">
        <v>19</v>
      </c>
      <c r="AQ42" s="29"/>
      <c r="AR42" s="29"/>
      <c r="AS42" s="49"/>
    </row>
    <row r="43" spans="1:45" ht="26.25" thickBot="1" x14ac:dyDescent="0.3">
      <c r="A43" s="30">
        <v>23</v>
      </c>
      <c r="B43" s="4"/>
      <c r="C43" s="30" t="s">
        <v>20</v>
      </c>
      <c r="D43" s="30" t="s">
        <v>20</v>
      </c>
      <c r="E43" s="30" t="s">
        <v>20</v>
      </c>
      <c r="F43" s="30" t="s">
        <v>20</v>
      </c>
      <c r="G43" s="30" t="s">
        <v>20</v>
      </c>
      <c r="H43" s="30" t="s">
        <v>20</v>
      </c>
      <c r="I43" s="30" t="s">
        <v>20</v>
      </c>
      <c r="J43" s="30" t="s">
        <v>20</v>
      </c>
      <c r="K43" s="30" t="s">
        <v>20</v>
      </c>
      <c r="L43" s="3"/>
      <c r="M43" s="3"/>
      <c r="N43" s="4"/>
      <c r="R43" s="47">
        <v>25</v>
      </c>
      <c r="S43" s="47" t="s">
        <v>89</v>
      </c>
      <c r="T43" s="196">
        <v>5</v>
      </c>
      <c r="U43" s="197"/>
      <c r="V43" s="198"/>
      <c r="W43" s="196">
        <v>12</v>
      </c>
      <c r="X43" s="197"/>
      <c r="Y43" s="198"/>
      <c r="Z43" s="196">
        <v>36</v>
      </c>
      <c r="AA43" s="197"/>
      <c r="AB43" s="198"/>
      <c r="AC43" s="226">
        <v>36</v>
      </c>
      <c r="AD43" s="227"/>
      <c r="AE43" s="228"/>
      <c r="AF43" s="30">
        <v>23</v>
      </c>
      <c r="AG43" s="4"/>
      <c r="AH43" s="30" t="s">
        <v>20</v>
      </c>
      <c r="AI43" s="30" t="s">
        <v>20</v>
      </c>
      <c r="AJ43" s="30" t="s">
        <v>20</v>
      </c>
      <c r="AK43" s="30" t="s">
        <v>20</v>
      </c>
      <c r="AL43" s="30" t="s">
        <v>20</v>
      </c>
      <c r="AM43" s="30" t="s">
        <v>20</v>
      </c>
      <c r="AN43" s="30" t="s">
        <v>20</v>
      </c>
      <c r="AO43" s="30" t="s">
        <v>20</v>
      </c>
      <c r="AP43" s="30" t="s">
        <v>20</v>
      </c>
      <c r="AQ43" s="3"/>
      <c r="AR43" s="3"/>
      <c r="AS43" s="4"/>
    </row>
    <row r="44" spans="1:45" ht="26.25" thickBot="1" x14ac:dyDescent="0.3">
      <c r="R44" s="47">
        <v>26</v>
      </c>
      <c r="S44" s="47" t="s">
        <v>90</v>
      </c>
      <c r="T44" s="196">
        <v>7</v>
      </c>
      <c r="U44" s="197"/>
      <c r="V44" s="198"/>
      <c r="W44" s="196">
        <v>16</v>
      </c>
      <c r="X44" s="197"/>
      <c r="Y44" s="198"/>
      <c r="Z44" s="196">
        <v>40</v>
      </c>
      <c r="AA44" s="197"/>
      <c r="AB44" s="198"/>
      <c r="AC44" s="226">
        <v>40</v>
      </c>
      <c r="AD44" s="227"/>
      <c r="AE44" s="228"/>
    </row>
    <row r="45" spans="1:45" ht="15.75" thickBot="1" x14ac:dyDescent="0.3">
      <c r="R45" s="9" t="s">
        <v>16</v>
      </c>
      <c r="S45" s="45"/>
      <c r="T45" s="9" t="s">
        <v>17</v>
      </c>
      <c r="U45" s="9" t="s">
        <v>18</v>
      </c>
      <c r="V45" s="9" t="s">
        <v>19</v>
      </c>
      <c r="W45" s="9" t="s">
        <v>17</v>
      </c>
      <c r="X45" s="9" t="s">
        <v>18</v>
      </c>
      <c r="Y45" s="9" t="s">
        <v>19</v>
      </c>
      <c r="Z45" s="9" t="s">
        <v>17</v>
      </c>
      <c r="AA45" s="9" t="s">
        <v>18</v>
      </c>
      <c r="AB45" s="9" t="s">
        <v>19</v>
      </c>
      <c r="AC45" s="29"/>
      <c r="AD45" s="29"/>
      <c r="AE45" s="49"/>
    </row>
    <row r="46" spans="1:45" ht="15.75" thickBot="1" x14ac:dyDescent="0.3">
      <c r="R46" s="30">
        <v>26</v>
      </c>
      <c r="S46" s="4"/>
      <c r="T46" s="30" t="s">
        <v>20</v>
      </c>
      <c r="U46" s="30" t="s">
        <v>20</v>
      </c>
      <c r="V46" s="30" t="s">
        <v>20</v>
      </c>
      <c r="W46" s="30" t="s">
        <v>20</v>
      </c>
      <c r="X46" s="30" t="s">
        <v>20</v>
      </c>
      <c r="Y46" s="30" t="s">
        <v>20</v>
      </c>
      <c r="Z46" s="30" t="s">
        <v>20</v>
      </c>
      <c r="AA46" s="30" t="s">
        <v>20</v>
      </c>
      <c r="AB46" s="30" t="s">
        <v>20</v>
      </c>
      <c r="AC46" s="3"/>
      <c r="AD46" s="3"/>
      <c r="AE46" s="4"/>
    </row>
  </sheetData>
  <mergeCells count="338">
    <mergeCell ref="AH41:AJ41"/>
    <mergeCell ref="AK41:AM41"/>
    <mergeCell ref="AN41:AP41"/>
    <mergeCell ref="AQ41:AS41"/>
    <mergeCell ref="AH39:AJ39"/>
    <mergeCell ref="AK39:AM39"/>
    <mergeCell ref="AN39:AP39"/>
    <mergeCell ref="AQ39:AS39"/>
    <mergeCell ref="AH40:AJ40"/>
    <mergeCell ref="AK40:AM40"/>
    <mergeCell ref="AN40:AP40"/>
    <mergeCell ref="AQ40:AS40"/>
    <mergeCell ref="AH37:AJ37"/>
    <mergeCell ref="AK37:AM37"/>
    <mergeCell ref="AN37:AP37"/>
    <mergeCell ref="AQ37:AS37"/>
    <mergeCell ref="AH38:AJ38"/>
    <mergeCell ref="AK38:AM38"/>
    <mergeCell ref="AN38:AP38"/>
    <mergeCell ref="AQ38:AS38"/>
    <mergeCell ref="AH35:AJ35"/>
    <mergeCell ref="AK35:AM35"/>
    <mergeCell ref="AN35:AP35"/>
    <mergeCell ref="AQ35:AS35"/>
    <mergeCell ref="AH36:AJ36"/>
    <mergeCell ref="AK36:AM36"/>
    <mergeCell ref="AN36:AP36"/>
    <mergeCell ref="AQ36:AS36"/>
    <mergeCell ref="AH33:AJ33"/>
    <mergeCell ref="AK33:AM33"/>
    <mergeCell ref="AN33:AP33"/>
    <mergeCell ref="AQ33:AS33"/>
    <mergeCell ref="AH34:AJ34"/>
    <mergeCell ref="AK34:AM34"/>
    <mergeCell ref="AN34:AP34"/>
    <mergeCell ref="AQ34:AS34"/>
    <mergeCell ref="AH31:AJ31"/>
    <mergeCell ref="AK31:AM31"/>
    <mergeCell ref="AN31:AP31"/>
    <mergeCell ref="AQ31:AS31"/>
    <mergeCell ref="AH32:AJ32"/>
    <mergeCell ref="AK32:AM32"/>
    <mergeCell ref="AN32:AP32"/>
    <mergeCell ref="AQ32:AS32"/>
    <mergeCell ref="AH29:AJ29"/>
    <mergeCell ref="AK29:AM29"/>
    <mergeCell ref="AN29:AP29"/>
    <mergeCell ref="AQ29:AS29"/>
    <mergeCell ref="AH30:AJ30"/>
    <mergeCell ref="AK30:AM30"/>
    <mergeCell ref="AN30:AP30"/>
    <mergeCell ref="AQ30:AS30"/>
    <mergeCell ref="AH27:AJ27"/>
    <mergeCell ref="AK27:AM27"/>
    <mergeCell ref="AN27:AP27"/>
    <mergeCell ref="AQ27:AS27"/>
    <mergeCell ref="AH28:AJ28"/>
    <mergeCell ref="AK28:AM28"/>
    <mergeCell ref="AN28:AP28"/>
    <mergeCell ref="AQ28:AS28"/>
    <mergeCell ref="AQ20:AS20"/>
    <mergeCell ref="AH25:AJ25"/>
    <mergeCell ref="AK25:AM25"/>
    <mergeCell ref="AN25:AP25"/>
    <mergeCell ref="AQ25:AS25"/>
    <mergeCell ref="AH26:AJ26"/>
    <mergeCell ref="AK26:AM26"/>
    <mergeCell ref="AN26:AP26"/>
    <mergeCell ref="AQ26:AS26"/>
    <mergeCell ref="AH23:AJ23"/>
    <mergeCell ref="AK23:AM23"/>
    <mergeCell ref="AN23:AP23"/>
    <mergeCell ref="AQ23:AS23"/>
    <mergeCell ref="AH24:AJ24"/>
    <mergeCell ref="AK24:AM24"/>
    <mergeCell ref="AN24:AP24"/>
    <mergeCell ref="AQ24:AS24"/>
    <mergeCell ref="AN16:AP16"/>
    <mergeCell ref="AQ15:AQ16"/>
    <mergeCell ref="AF17:AG17"/>
    <mergeCell ref="AH17:AJ17"/>
    <mergeCell ref="AK17:AM17"/>
    <mergeCell ref="AN17:AP17"/>
    <mergeCell ref="Z44:AB44"/>
    <mergeCell ref="AC44:AE44"/>
    <mergeCell ref="AH21:AJ21"/>
    <mergeCell ref="AK21:AM21"/>
    <mergeCell ref="AN21:AP21"/>
    <mergeCell ref="AQ21:AS21"/>
    <mergeCell ref="AH22:AJ22"/>
    <mergeCell ref="AK22:AM22"/>
    <mergeCell ref="AN22:AP22"/>
    <mergeCell ref="AQ22:AS22"/>
    <mergeCell ref="AF18:AQ18"/>
    <mergeCell ref="AH19:AJ19"/>
    <mergeCell ref="AK19:AM19"/>
    <mergeCell ref="AN19:AP19"/>
    <mergeCell ref="AQ19:AS19"/>
    <mergeCell ref="AH20:AJ20"/>
    <mergeCell ref="AK20:AM20"/>
    <mergeCell ref="AN20:AP20"/>
    <mergeCell ref="Z43:AB43"/>
    <mergeCell ref="AC43:AE43"/>
    <mergeCell ref="Z40:AB40"/>
    <mergeCell ref="AC40:AE40"/>
    <mergeCell ref="T41:V41"/>
    <mergeCell ref="W41:Y41"/>
    <mergeCell ref="Z41:AB41"/>
    <mergeCell ref="AC41:AE41"/>
    <mergeCell ref="AF2:AH2"/>
    <mergeCell ref="AF5:AH5"/>
    <mergeCell ref="AF14:AS14"/>
    <mergeCell ref="AF15:AF16"/>
    <mergeCell ref="AG15:AG16"/>
    <mergeCell ref="AH15:AJ15"/>
    <mergeCell ref="AH16:AJ16"/>
    <mergeCell ref="AK15:AM15"/>
    <mergeCell ref="Z42:AB42"/>
    <mergeCell ref="AC42:AE42"/>
    <mergeCell ref="Z38:AB38"/>
    <mergeCell ref="AC38:AE38"/>
    <mergeCell ref="AC28:AE28"/>
    <mergeCell ref="AC29:AE29"/>
    <mergeCell ref="AK16:AM16"/>
    <mergeCell ref="AN15:AP15"/>
    <mergeCell ref="Z39:AB39"/>
    <mergeCell ref="AC39:AE39"/>
    <mergeCell ref="T36:V36"/>
    <mergeCell ref="W36:Y36"/>
    <mergeCell ref="Z36:AB36"/>
    <mergeCell ref="AC36:AE36"/>
    <mergeCell ref="T37:V37"/>
    <mergeCell ref="W37:Y37"/>
    <mergeCell ref="Z37:AB37"/>
    <mergeCell ref="AC37:AE37"/>
    <mergeCell ref="Z34:AB34"/>
    <mergeCell ref="AC34:AE34"/>
    <mergeCell ref="T35:V35"/>
    <mergeCell ref="W35:Y35"/>
    <mergeCell ref="Z35:AB35"/>
    <mergeCell ref="AC35:AE35"/>
    <mergeCell ref="AC31:AE31"/>
    <mergeCell ref="T32:V32"/>
    <mergeCell ref="W32:Y32"/>
    <mergeCell ref="Z32:AB32"/>
    <mergeCell ref="AC32:AE32"/>
    <mergeCell ref="T33:V33"/>
    <mergeCell ref="W33:Y33"/>
    <mergeCell ref="Z33:AB33"/>
    <mergeCell ref="AC33:AE33"/>
    <mergeCell ref="T30:V30"/>
    <mergeCell ref="W30:Y30"/>
    <mergeCell ref="Z30:AB30"/>
    <mergeCell ref="T31:V31"/>
    <mergeCell ref="W31:Y31"/>
    <mergeCell ref="Z31:AB31"/>
    <mergeCell ref="T28:V28"/>
    <mergeCell ref="W28:Y28"/>
    <mergeCell ref="Z28:AB28"/>
    <mergeCell ref="T29:V29"/>
    <mergeCell ref="W29:Y29"/>
    <mergeCell ref="Z29:AB29"/>
    <mergeCell ref="T26:V26"/>
    <mergeCell ref="W26:Y26"/>
    <mergeCell ref="Z26:AB26"/>
    <mergeCell ref="AC26:AE26"/>
    <mergeCell ref="T27:V27"/>
    <mergeCell ref="W27:Y27"/>
    <mergeCell ref="Z27:AB27"/>
    <mergeCell ref="AC27:AE27"/>
    <mergeCell ref="T24:V24"/>
    <mergeCell ref="W24:Y24"/>
    <mergeCell ref="Z24:AB24"/>
    <mergeCell ref="AC24:AE24"/>
    <mergeCell ref="T25:V25"/>
    <mergeCell ref="W25:Y25"/>
    <mergeCell ref="Z25:AB25"/>
    <mergeCell ref="AC25:AE25"/>
    <mergeCell ref="T22:V22"/>
    <mergeCell ref="W22:Y22"/>
    <mergeCell ref="Z22:AB22"/>
    <mergeCell ref="AC22:AE22"/>
    <mergeCell ref="T23:V23"/>
    <mergeCell ref="W23:Y23"/>
    <mergeCell ref="Z23:AB23"/>
    <mergeCell ref="AC23:AE23"/>
    <mergeCell ref="T20:V20"/>
    <mergeCell ref="W20:Y20"/>
    <mergeCell ref="Z20:AB20"/>
    <mergeCell ref="AC20:AE20"/>
    <mergeCell ref="T21:V21"/>
    <mergeCell ref="W21:Y21"/>
    <mergeCell ref="Z21:AB21"/>
    <mergeCell ref="AC21:AE21"/>
    <mergeCell ref="R17:S17"/>
    <mergeCell ref="T17:V17"/>
    <mergeCell ref="W17:Y17"/>
    <mergeCell ref="Z17:AB17"/>
    <mergeCell ref="R18:AC18"/>
    <mergeCell ref="T19:V19"/>
    <mergeCell ref="W19:Y19"/>
    <mergeCell ref="Z19:AB19"/>
    <mergeCell ref="AC19:AE19"/>
    <mergeCell ref="T16:V16"/>
    <mergeCell ref="W15:Y15"/>
    <mergeCell ref="W16:Y16"/>
    <mergeCell ref="Z15:AB15"/>
    <mergeCell ref="Z16:AB16"/>
    <mergeCell ref="AC15:AC16"/>
    <mergeCell ref="R2:T2"/>
    <mergeCell ref="R5:T5"/>
    <mergeCell ref="R14:AE14"/>
    <mergeCell ref="R15:R16"/>
    <mergeCell ref="S15:S16"/>
    <mergeCell ref="T15:V15"/>
    <mergeCell ref="T44:V44"/>
    <mergeCell ref="W44:Y44"/>
    <mergeCell ref="T42:V42"/>
    <mergeCell ref="W42:Y42"/>
    <mergeCell ref="T40:V40"/>
    <mergeCell ref="W40:Y40"/>
    <mergeCell ref="T38:V38"/>
    <mergeCell ref="W38:Y38"/>
    <mergeCell ref="T34:V34"/>
    <mergeCell ref="W34:Y34"/>
    <mergeCell ref="T39:V39"/>
    <mergeCell ref="W39:Y39"/>
    <mergeCell ref="T43:V43"/>
    <mergeCell ref="W43:Y43"/>
    <mergeCell ref="C41:E41"/>
    <mergeCell ref="F41:H41"/>
    <mergeCell ref="I41:K41"/>
    <mergeCell ref="L41:N41"/>
    <mergeCell ref="C39:E39"/>
    <mergeCell ref="F39:H39"/>
    <mergeCell ref="I39:K39"/>
    <mergeCell ref="L39:N39"/>
    <mergeCell ref="C40:E40"/>
    <mergeCell ref="F40:H40"/>
    <mergeCell ref="I40:K40"/>
    <mergeCell ref="L40:N40"/>
    <mergeCell ref="C37:E37"/>
    <mergeCell ref="F37:H37"/>
    <mergeCell ref="I37:K37"/>
    <mergeCell ref="L37:N37"/>
    <mergeCell ref="C38:E38"/>
    <mergeCell ref="F38:H38"/>
    <mergeCell ref="I38:K38"/>
    <mergeCell ref="L38:N38"/>
    <mergeCell ref="C35:E35"/>
    <mergeCell ref="F35:H35"/>
    <mergeCell ref="I35:K35"/>
    <mergeCell ref="L35:N35"/>
    <mergeCell ref="C36:E36"/>
    <mergeCell ref="F36:H36"/>
    <mergeCell ref="I36:K36"/>
    <mergeCell ref="L36:N36"/>
    <mergeCell ref="C33:E33"/>
    <mergeCell ref="F33:H33"/>
    <mergeCell ref="I33:K33"/>
    <mergeCell ref="L33:N33"/>
    <mergeCell ref="C34:E34"/>
    <mergeCell ref="F34:H34"/>
    <mergeCell ref="I34:K34"/>
    <mergeCell ref="L34:N34"/>
    <mergeCell ref="C31:E31"/>
    <mergeCell ref="F31:H31"/>
    <mergeCell ref="I31:K31"/>
    <mergeCell ref="L31:N31"/>
    <mergeCell ref="C32:E32"/>
    <mergeCell ref="F32:H32"/>
    <mergeCell ref="I32:K32"/>
    <mergeCell ref="L32:N32"/>
    <mergeCell ref="C29:E29"/>
    <mergeCell ref="F29:H29"/>
    <mergeCell ref="I29:K29"/>
    <mergeCell ref="L29:N29"/>
    <mergeCell ref="C30:E30"/>
    <mergeCell ref="F30:H30"/>
    <mergeCell ref="I30:K30"/>
    <mergeCell ref="L30:N30"/>
    <mergeCell ref="C27:E27"/>
    <mergeCell ref="F27:H27"/>
    <mergeCell ref="I27:K27"/>
    <mergeCell ref="L27:N27"/>
    <mergeCell ref="C28:E28"/>
    <mergeCell ref="F28:H28"/>
    <mergeCell ref="I28:K28"/>
    <mergeCell ref="L28:N28"/>
    <mergeCell ref="C25:E25"/>
    <mergeCell ref="F25:H25"/>
    <mergeCell ref="I25:K25"/>
    <mergeCell ref="L25:N25"/>
    <mergeCell ref="C26:E26"/>
    <mergeCell ref="F26:H26"/>
    <mergeCell ref="I26:K26"/>
    <mergeCell ref="L26:N26"/>
    <mergeCell ref="C23:E23"/>
    <mergeCell ref="F23:H23"/>
    <mergeCell ref="I23:K23"/>
    <mergeCell ref="L23:N23"/>
    <mergeCell ref="C24:E24"/>
    <mergeCell ref="F24:H24"/>
    <mergeCell ref="I24:K24"/>
    <mergeCell ref="L24:N24"/>
    <mergeCell ref="C21:E21"/>
    <mergeCell ref="F21:H21"/>
    <mergeCell ref="I21:K21"/>
    <mergeCell ref="L21:N21"/>
    <mergeCell ref="C22:E22"/>
    <mergeCell ref="F22:H22"/>
    <mergeCell ref="I22:K22"/>
    <mergeCell ref="L22:N22"/>
    <mergeCell ref="A18:L18"/>
    <mergeCell ref="C19:E19"/>
    <mergeCell ref="F19:H19"/>
    <mergeCell ref="I19:K19"/>
    <mergeCell ref="L19:N19"/>
    <mergeCell ref="C20:E20"/>
    <mergeCell ref="F20:H20"/>
    <mergeCell ref="I20:K20"/>
    <mergeCell ref="L20:N20"/>
    <mergeCell ref="I16:K16"/>
    <mergeCell ref="L15:L16"/>
    <mergeCell ref="A17:B17"/>
    <mergeCell ref="C17:E17"/>
    <mergeCell ref="F17:H17"/>
    <mergeCell ref="I17:K17"/>
    <mergeCell ref="A2:C2"/>
    <mergeCell ref="A5:C5"/>
    <mergeCell ref="A14:N14"/>
    <mergeCell ref="A15:A16"/>
    <mergeCell ref="B15:B16"/>
    <mergeCell ref="C15:E15"/>
    <mergeCell ref="C16:E16"/>
    <mergeCell ref="F15:H15"/>
    <mergeCell ref="F16:H16"/>
    <mergeCell ref="I15:K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topLeftCell="D1" workbookViewId="0">
      <selection activeCell="K73" sqref="K73"/>
    </sheetView>
  </sheetViews>
  <sheetFormatPr defaultRowHeight="15" x14ac:dyDescent="0.25"/>
  <cols>
    <col min="3" max="3" width="10.140625" style="61" customWidth="1"/>
    <col min="4" max="6" width="9.140625" style="61"/>
    <col min="7" max="7" width="11.5703125" style="61" customWidth="1"/>
    <col min="8" max="8" width="9.140625" style="61"/>
    <col min="9" max="9" width="13.140625" style="61" customWidth="1"/>
    <col min="10" max="11" width="9.140625" style="61"/>
    <col min="22" max="24" width="9.140625" style="71"/>
  </cols>
  <sheetData>
    <row r="1" spans="2:17" ht="15.75" thickBot="1" x14ac:dyDescent="0.3"/>
    <row r="2" spans="2:17" ht="15.75" thickBot="1" x14ac:dyDescent="0.3">
      <c r="B2" s="234" t="s">
        <v>92</v>
      </c>
      <c r="C2" s="232"/>
      <c r="D2" s="232"/>
      <c r="E2" s="232"/>
      <c r="F2" s="232"/>
      <c r="G2" s="233"/>
      <c r="H2" s="234" t="s">
        <v>110</v>
      </c>
      <c r="I2" s="232"/>
      <c r="J2" s="232"/>
      <c r="K2" s="232"/>
      <c r="L2" s="232"/>
      <c r="M2" s="233"/>
      <c r="O2" s="235" t="s">
        <v>93</v>
      </c>
      <c r="P2" s="236"/>
      <c r="Q2" s="237"/>
    </row>
    <row r="3" spans="2:17" ht="15.75" thickBot="1" x14ac:dyDescent="0.3">
      <c r="B3" s="58"/>
      <c r="C3" s="59"/>
      <c r="D3" s="59" t="s">
        <v>2</v>
      </c>
      <c r="E3" s="59" t="s">
        <v>91</v>
      </c>
      <c r="F3" s="59" t="s">
        <v>5</v>
      </c>
      <c r="G3" s="139" t="s">
        <v>7</v>
      </c>
      <c r="H3" s="58" t="s">
        <v>49</v>
      </c>
      <c r="I3" s="59" t="s">
        <v>1</v>
      </c>
      <c r="J3" s="59" t="s">
        <v>2</v>
      </c>
      <c r="K3" s="59" t="s">
        <v>4</v>
      </c>
      <c r="L3" s="59" t="s">
        <v>5</v>
      </c>
      <c r="M3" s="139" t="s">
        <v>7</v>
      </c>
      <c r="O3" s="58" t="s">
        <v>2</v>
      </c>
      <c r="P3" s="59" t="s">
        <v>4</v>
      </c>
      <c r="Q3" s="60" t="s">
        <v>5</v>
      </c>
    </row>
    <row r="4" spans="2:17" ht="15.75" thickBot="1" x14ac:dyDescent="0.3">
      <c r="B4" s="50">
        <v>1</v>
      </c>
      <c r="C4" s="57">
        <v>43500</v>
      </c>
      <c r="D4" s="62">
        <v>15</v>
      </c>
      <c r="E4" s="62">
        <v>45</v>
      </c>
      <c r="F4" s="62">
        <v>68</v>
      </c>
      <c r="G4" s="140">
        <v>68</v>
      </c>
      <c r="H4" s="68">
        <v>1</v>
      </c>
      <c r="I4" s="70">
        <v>43834</v>
      </c>
      <c r="J4" s="62">
        <v>6</v>
      </c>
      <c r="K4" s="62">
        <v>15</v>
      </c>
      <c r="L4" s="62">
        <v>54</v>
      </c>
      <c r="M4" s="140">
        <v>54</v>
      </c>
      <c r="O4" s="73">
        <f t="shared" ref="O4:O26" si="0">(D4-J4)/D4*100</f>
        <v>60</v>
      </c>
      <c r="P4" s="74">
        <f t="shared" ref="P4:P26" si="1">(E4-K4)/E4*100</f>
        <v>66.666666666666657</v>
      </c>
      <c r="Q4" s="75">
        <f t="shared" ref="Q4:Q26" si="2">(F4-L4)/F4*100</f>
        <v>20.588235294117645</v>
      </c>
    </row>
    <row r="5" spans="2:17" ht="15.75" thickBot="1" x14ac:dyDescent="0.3">
      <c r="B5" s="50">
        <v>2</v>
      </c>
      <c r="C5" s="7">
        <v>43528</v>
      </c>
      <c r="D5" s="62">
        <v>10</v>
      </c>
      <c r="E5" s="62">
        <v>34</v>
      </c>
      <c r="F5" s="62">
        <v>59</v>
      </c>
      <c r="G5" s="140">
        <v>59</v>
      </c>
      <c r="H5" s="68">
        <v>2</v>
      </c>
      <c r="I5" s="66">
        <v>43865</v>
      </c>
      <c r="J5" s="62">
        <v>4</v>
      </c>
      <c r="K5" s="62">
        <v>9</v>
      </c>
      <c r="L5" s="62">
        <v>45</v>
      </c>
      <c r="M5" s="140">
        <v>45</v>
      </c>
      <c r="O5" s="73">
        <f t="shared" si="0"/>
        <v>60</v>
      </c>
      <c r="P5" s="74">
        <f t="shared" si="1"/>
        <v>73.529411764705884</v>
      </c>
      <c r="Q5" s="75">
        <f t="shared" si="2"/>
        <v>23.728813559322035</v>
      </c>
    </row>
    <row r="6" spans="2:17" ht="15.75" thickBot="1" x14ac:dyDescent="0.3">
      <c r="B6" s="50">
        <v>3</v>
      </c>
      <c r="C6" s="7">
        <v>43559</v>
      </c>
      <c r="D6" s="62">
        <v>16</v>
      </c>
      <c r="E6" s="62">
        <v>49</v>
      </c>
      <c r="F6" s="62">
        <v>66</v>
      </c>
      <c r="G6" s="140">
        <v>66</v>
      </c>
      <c r="H6" s="68">
        <v>3</v>
      </c>
      <c r="I6" s="66">
        <v>43894</v>
      </c>
      <c r="J6" s="62">
        <v>6</v>
      </c>
      <c r="K6" s="62">
        <v>13</v>
      </c>
      <c r="L6" s="62">
        <v>36</v>
      </c>
      <c r="M6" s="140">
        <v>36</v>
      </c>
      <c r="O6" s="73">
        <f t="shared" si="0"/>
        <v>62.5</v>
      </c>
      <c r="P6" s="74">
        <f t="shared" si="1"/>
        <v>73.469387755102048</v>
      </c>
      <c r="Q6" s="75">
        <f t="shared" si="2"/>
        <v>45.454545454545453</v>
      </c>
    </row>
    <row r="7" spans="2:17" ht="15.75" thickBot="1" x14ac:dyDescent="0.3">
      <c r="B7" s="50">
        <v>4</v>
      </c>
      <c r="C7" s="7">
        <v>43589</v>
      </c>
      <c r="D7" s="62">
        <v>11</v>
      </c>
      <c r="E7" s="62">
        <v>34</v>
      </c>
      <c r="F7" s="62">
        <v>61</v>
      </c>
      <c r="G7" s="140">
        <v>61</v>
      </c>
      <c r="H7" s="68">
        <v>4</v>
      </c>
      <c r="I7" s="66">
        <v>43925</v>
      </c>
      <c r="J7" s="62">
        <v>5</v>
      </c>
      <c r="K7" s="62">
        <v>16</v>
      </c>
      <c r="L7" s="62">
        <v>51</v>
      </c>
      <c r="M7" s="140">
        <v>51</v>
      </c>
      <c r="O7" s="73">
        <f t="shared" si="0"/>
        <v>54.54545454545454</v>
      </c>
      <c r="P7" s="74">
        <f t="shared" si="1"/>
        <v>52.941176470588239</v>
      </c>
      <c r="Q7" s="75">
        <f t="shared" si="2"/>
        <v>16.393442622950818</v>
      </c>
    </row>
    <row r="8" spans="2:17" ht="15.75" thickBot="1" x14ac:dyDescent="0.3">
      <c r="B8" s="50">
        <v>5</v>
      </c>
      <c r="C8" s="7">
        <v>43620</v>
      </c>
      <c r="D8" s="62">
        <v>11</v>
      </c>
      <c r="E8" s="62">
        <v>35</v>
      </c>
      <c r="F8" s="62">
        <v>69</v>
      </c>
      <c r="G8" s="140">
        <v>69</v>
      </c>
      <c r="H8" s="68">
        <v>5</v>
      </c>
      <c r="I8" s="66">
        <v>43986</v>
      </c>
      <c r="J8" s="62">
        <v>4</v>
      </c>
      <c r="K8" s="62">
        <v>13</v>
      </c>
      <c r="L8" s="62">
        <v>49</v>
      </c>
      <c r="M8" s="140">
        <v>49</v>
      </c>
      <c r="O8" s="73">
        <f t="shared" si="0"/>
        <v>63.636363636363633</v>
      </c>
      <c r="P8" s="74">
        <f t="shared" si="1"/>
        <v>62.857142857142854</v>
      </c>
      <c r="Q8" s="75">
        <f t="shared" si="2"/>
        <v>28.985507246376812</v>
      </c>
    </row>
    <row r="9" spans="2:17" ht="15.75" thickBot="1" x14ac:dyDescent="0.3">
      <c r="B9" s="50">
        <v>6</v>
      </c>
      <c r="C9" s="7">
        <v>43650</v>
      </c>
      <c r="D9" s="62">
        <v>10</v>
      </c>
      <c r="E9" s="62">
        <v>32</v>
      </c>
      <c r="F9" s="62">
        <v>55</v>
      </c>
      <c r="G9" s="140">
        <v>55</v>
      </c>
      <c r="H9" s="68">
        <v>6</v>
      </c>
      <c r="I9" s="66">
        <v>44016</v>
      </c>
      <c r="J9" s="62">
        <v>5</v>
      </c>
      <c r="K9" s="62">
        <v>11</v>
      </c>
      <c r="L9" s="62">
        <v>55</v>
      </c>
      <c r="M9" s="140">
        <v>55</v>
      </c>
      <c r="O9" s="73">
        <f t="shared" si="0"/>
        <v>50</v>
      </c>
      <c r="P9" s="74">
        <f t="shared" si="1"/>
        <v>65.625</v>
      </c>
      <c r="Q9" s="75">
        <f t="shared" si="2"/>
        <v>0</v>
      </c>
    </row>
    <row r="10" spans="2:17" ht="15.75" thickBot="1" x14ac:dyDescent="0.3">
      <c r="B10" s="50">
        <v>7</v>
      </c>
      <c r="C10" s="7">
        <v>43681</v>
      </c>
      <c r="D10" s="62">
        <v>13</v>
      </c>
      <c r="E10" s="62">
        <v>41</v>
      </c>
      <c r="F10" s="62">
        <v>74</v>
      </c>
      <c r="G10" s="140">
        <v>74</v>
      </c>
      <c r="H10" s="68">
        <v>7</v>
      </c>
      <c r="I10" s="66">
        <v>44047</v>
      </c>
      <c r="J10" s="62">
        <v>5</v>
      </c>
      <c r="K10" s="62">
        <v>10</v>
      </c>
      <c r="L10" s="62">
        <v>44</v>
      </c>
      <c r="M10" s="140">
        <v>44</v>
      </c>
      <c r="O10" s="73">
        <f t="shared" si="0"/>
        <v>61.53846153846154</v>
      </c>
      <c r="P10" s="74">
        <f t="shared" si="1"/>
        <v>75.609756097560975</v>
      </c>
      <c r="Q10" s="75">
        <f t="shared" si="2"/>
        <v>40.54054054054054</v>
      </c>
    </row>
    <row r="11" spans="2:17" ht="15.75" thickBot="1" x14ac:dyDescent="0.3">
      <c r="B11" s="50">
        <v>8</v>
      </c>
      <c r="C11" s="7">
        <v>43712</v>
      </c>
      <c r="D11" s="62">
        <v>14</v>
      </c>
      <c r="E11" s="62">
        <v>41</v>
      </c>
      <c r="F11" s="62">
        <v>79</v>
      </c>
      <c r="G11" s="140">
        <v>79</v>
      </c>
      <c r="H11" s="68">
        <v>8</v>
      </c>
      <c r="I11" s="66">
        <v>44078</v>
      </c>
      <c r="J11" s="62">
        <v>5</v>
      </c>
      <c r="K11" s="62">
        <v>12</v>
      </c>
      <c r="L11" s="62">
        <v>51</v>
      </c>
      <c r="M11" s="140">
        <v>51</v>
      </c>
      <c r="O11" s="73">
        <f t="shared" si="0"/>
        <v>64.285714285714292</v>
      </c>
      <c r="P11" s="74">
        <f t="shared" si="1"/>
        <v>70.731707317073173</v>
      </c>
      <c r="Q11" s="75">
        <f t="shared" si="2"/>
        <v>35.443037974683541</v>
      </c>
    </row>
    <row r="12" spans="2:17" ht="15.75" thickBot="1" x14ac:dyDescent="0.3">
      <c r="B12" s="50">
        <v>9</v>
      </c>
      <c r="C12" s="7">
        <v>43742</v>
      </c>
      <c r="D12" s="62">
        <v>12</v>
      </c>
      <c r="E12" s="62">
        <v>37</v>
      </c>
      <c r="F12" s="62">
        <v>65</v>
      </c>
      <c r="G12" s="140">
        <v>65</v>
      </c>
      <c r="H12" s="68">
        <v>9</v>
      </c>
      <c r="I12" s="66">
        <v>44108</v>
      </c>
      <c r="J12" s="62">
        <v>5</v>
      </c>
      <c r="K12" s="62">
        <v>10</v>
      </c>
      <c r="L12" s="62">
        <v>56</v>
      </c>
      <c r="M12" s="140">
        <v>56</v>
      </c>
      <c r="O12" s="73">
        <f t="shared" si="0"/>
        <v>58.333333333333336</v>
      </c>
      <c r="P12" s="74">
        <f t="shared" si="1"/>
        <v>72.972972972972968</v>
      </c>
      <c r="Q12" s="75">
        <f t="shared" si="2"/>
        <v>13.846153846153847</v>
      </c>
    </row>
    <row r="13" spans="2:17" ht="15.75" thickBot="1" x14ac:dyDescent="0.3">
      <c r="B13" s="50">
        <v>10</v>
      </c>
      <c r="C13" s="7">
        <v>43773</v>
      </c>
      <c r="D13" s="62">
        <v>11</v>
      </c>
      <c r="E13" s="62">
        <v>37</v>
      </c>
      <c r="F13" s="62">
        <v>57</v>
      </c>
      <c r="G13" s="140">
        <v>57</v>
      </c>
      <c r="H13" s="68">
        <v>10</v>
      </c>
      <c r="I13" s="66">
        <v>44139</v>
      </c>
      <c r="J13" s="62">
        <v>5</v>
      </c>
      <c r="K13" s="62">
        <v>10</v>
      </c>
      <c r="L13" s="62">
        <v>66</v>
      </c>
      <c r="M13" s="140">
        <v>66</v>
      </c>
      <c r="O13" s="73">
        <f t="shared" si="0"/>
        <v>54.54545454545454</v>
      </c>
      <c r="P13" s="74">
        <f t="shared" si="1"/>
        <v>72.972972972972968</v>
      </c>
      <c r="Q13" s="75">
        <f t="shared" si="2"/>
        <v>-15.789473684210526</v>
      </c>
    </row>
    <row r="14" spans="2:17" ht="15.75" thickBot="1" x14ac:dyDescent="0.3">
      <c r="B14" s="50">
        <v>11</v>
      </c>
      <c r="C14" s="7">
        <v>43803</v>
      </c>
      <c r="D14" s="62">
        <v>17</v>
      </c>
      <c r="E14" s="62">
        <v>51</v>
      </c>
      <c r="F14" s="62">
        <v>64</v>
      </c>
      <c r="G14" s="140">
        <v>64</v>
      </c>
      <c r="H14" s="68">
        <v>11</v>
      </c>
      <c r="I14" s="62" t="s">
        <v>75</v>
      </c>
      <c r="J14" s="62">
        <v>5</v>
      </c>
      <c r="K14" s="62">
        <v>12</v>
      </c>
      <c r="L14" s="62">
        <v>59</v>
      </c>
      <c r="M14" s="140">
        <v>59</v>
      </c>
      <c r="O14" s="73">
        <f t="shared" si="0"/>
        <v>70.588235294117652</v>
      </c>
      <c r="P14" s="74">
        <f t="shared" si="1"/>
        <v>76.470588235294116</v>
      </c>
      <c r="Q14" s="75">
        <f t="shared" si="2"/>
        <v>7.8125</v>
      </c>
    </row>
    <row r="15" spans="2:17" x14ac:dyDescent="0.25">
      <c r="B15" s="50">
        <v>12</v>
      </c>
      <c r="C15" s="51" t="s">
        <v>11</v>
      </c>
      <c r="D15" s="62">
        <v>15</v>
      </c>
      <c r="E15" s="62">
        <v>46</v>
      </c>
      <c r="F15" s="62">
        <v>60</v>
      </c>
      <c r="G15" s="140">
        <v>60</v>
      </c>
      <c r="H15" s="68">
        <v>12</v>
      </c>
      <c r="I15" s="62" t="s">
        <v>76</v>
      </c>
      <c r="J15" s="62">
        <v>5</v>
      </c>
      <c r="K15" s="62">
        <v>13</v>
      </c>
      <c r="L15" s="62">
        <v>50</v>
      </c>
      <c r="M15" s="140"/>
      <c r="O15" s="73">
        <f t="shared" si="0"/>
        <v>66.666666666666657</v>
      </c>
      <c r="P15" s="74">
        <f t="shared" si="1"/>
        <v>71.739130434782609</v>
      </c>
      <c r="Q15" s="75">
        <f t="shared" si="2"/>
        <v>16.666666666666664</v>
      </c>
    </row>
    <row r="16" spans="2:17" x14ac:dyDescent="0.25">
      <c r="B16" s="50">
        <v>13</v>
      </c>
      <c r="C16" s="51" t="s">
        <v>67</v>
      </c>
      <c r="D16" s="62">
        <v>14</v>
      </c>
      <c r="E16" s="62">
        <v>45</v>
      </c>
      <c r="F16" s="62">
        <v>67</v>
      </c>
      <c r="G16" s="140">
        <v>67</v>
      </c>
      <c r="H16" s="68">
        <v>13</v>
      </c>
      <c r="I16" s="62" t="s">
        <v>77</v>
      </c>
      <c r="J16" s="62">
        <v>5</v>
      </c>
      <c r="K16" s="62">
        <v>14</v>
      </c>
      <c r="L16" s="62">
        <v>44</v>
      </c>
      <c r="M16" s="140">
        <v>44</v>
      </c>
      <c r="O16" s="73">
        <f t="shared" si="0"/>
        <v>64.285714285714292</v>
      </c>
      <c r="P16" s="74">
        <f t="shared" si="1"/>
        <v>68.888888888888886</v>
      </c>
      <c r="Q16" s="75">
        <f t="shared" si="2"/>
        <v>34.328358208955223</v>
      </c>
    </row>
    <row r="17" spans="2:17" x14ac:dyDescent="0.25">
      <c r="B17" s="50">
        <v>14</v>
      </c>
      <c r="C17" s="51" t="s">
        <v>50</v>
      </c>
      <c r="D17" s="62">
        <v>13</v>
      </c>
      <c r="E17" s="62">
        <v>39</v>
      </c>
      <c r="F17" s="62">
        <v>74</v>
      </c>
      <c r="G17" s="140">
        <v>74</v>
      </c>
      <c r="H17" s="68">
        <v>14</v>
      </c>
      <c r="I17" s="62" t="s">
        <v>78</v>
      </c>
      <c r="J17" s="62">
        <v>6</v>
      </c>
      <c r="K17" s="62">
        <v>17</v>
      </c>
      <c r="L17" s="62">
        <v>55</v>
      </c>
      <c r="M17" s="140">
        <v>55</v>
      </c>
      <c r="O17" s="73">
        <f t="shared" si="0"/>
        <v>53.846153846153847</v>
      </c>
      <c r="P17" s="74">
        <f t="shared" si="1"/>
        <v>56.410256410256409</v>
      </c>
      <c r="Q17" s="75">
        <f t="shared" si="2"/>
        <v>25.675675675675674</v>
      </c>
    </row>
    <row r="18" spans="2:17" x14ac:dyDescent="0.25">
      <c r="B18" s="50">
        <v>15</v>
      </c>
      <c r="C18" s="51" t="s">
        <v>58</v>
      </c>
      <c r="D18" s="62">
        <v>17</v>
      </c>
      <c r="E18" s="62">
        <v>50</v>
      </c>
      <c r="F18" s="62">
        <v>76</v>
      </c>
      <c r="G18" s="140">
        <v>76</v>
      </c>
      <c r="H18" s="68">
        <v>15</v>
      </c>
      <c r="I18" s="62" t="s">
        <v>79</v>
      </c>
      <c r="J18" s="62">
        <v>5</v>
      </c>
      <c r="K18" s="62">
        <v>13</v>
      </c>
      <c r="L18" s="62">
        <v>45</v>
      </c>
      <c r="M18" s="140">
        <v>45</v>
      </c>
      <c r="O18" s="73">
        <f t="shared" si="0"/>
        <v>70.588235294117652</v>
      </c>
      <c r="P18" s="74">
        <f t="shared" si="1"/>
        <v>74</v>
      </c>
      <c r="Q18" s="75">
        <f t="shared" si="2"/>
        <v>40.789473684210527</v>
      </c>
    </row>
    <row r="19" spans="2:17" x14ac:dyDescent="0.25">
      <c r="B19" s="50">
        <v>16</v>
      </c>
      <c r="C19" s="51" t="s">
        <v>12</v>
      </c>
      <c r="D19" s="62">
        <v>15</v>
      </c>
      <c r="E19" s="62">
        <v>41</v>
      </c>
      <c r="F19" s="62">
        <v>70</v>
      </c>
      <c r="G19" s="140">
        <v>70</v>
      </c>
      <c r="H19" s="68">
        <v>16</v>
      </c>
      <c r="I19" s="62" t="s">
        <v>80</v>
      </c>
      <c r="J19" s="62">
        <v>5</v>
      </c>
      <c r="K19" s="62">
        <v>12</v>
      </c>
      <c r="L19" s="62">
        <v>40</v>
      </c>
      <c r="M19" s="140">
        <v>40</v>
      </c>
      <c r="O19" s="73">
        <f t="shared" si="0"/>
        <v>66.666666666666657</v>
      </c>
      <c r="P19" s="74">
        <f t="shared" si="1"/>
        <v>70.731707317073173</v>
      </c>
      <c r="Q19" s="75">
        <f t="shared" si="2"/>
        <v>42.857142857142854</v>
      </c>
    </row>
    <row r="20" spans="2:17" x14ac:dyDescent="0.25">
      <c r="B20" s="50">
        <v>17</v>
      </c>
      <c r="C20" s="51" t="s">
        <v>52</v>
      </c>
      <c r="D20" s="62">
        <v>11</v>
      </c>
      <c r="E20" s="62">
        <v>37</v>
      </c>
      <c r="F20" s="62">
        <v>71</v>
      </c>
      <c r="G20" s="140">
        <v>71</v>
      </c>
      <c r="H20" s="68">
        <v>17</v>
      </c>
      <c r="I20" s="62" t="s">
        <v>81</v>
      </c>
      <c r="J20" s="62">
        <v>4</v>
      </c>
      <c r="K20" s="62">
        <v>9</v>
      </c>
      <c r="L20" s="62">
        <v>35</v>
      </c>
      <c r="M20" s="140">
        <v>35</v>
      </c>
      <c r="O20" s="73">
        <f t="shared" si="0"/>
        <v>63.636363636363633</v>
      </c>
      <c r="P20" s="74">
        <f t="shared" si="1"/>
        <v>75.675675675675677</v>
      </c>
      <c r="Q20" s="75">
        <f t="shared" si="2"/>
        <v>50.704225352112672</v>
      </c>
    </row>
    <row r="21" spans="2:17" x14ac:dyDescent="0.25">
      <c r="B21" s="50">
        <v>18</v>
      </c>
      <c r="C21" s="51" t="s">
        <v>60</v>
      </c>
      <c r="D21" s="62">
        <v>17</v>
      </c>
      <c r="E21" s="62">
        <v>48</v>
      </c>
      <c r="F21" s="62">
        <v>67</v>
      </c>
      <c r="G21" s="140">
        <v>67</v>
      </c>
      <c r="H21" s="68">
        <v>18</v>
      </c>
      <c r="I21" s="62" t="s">
        <v>82</v>
      </c>
      <c r="J21" s="62">
        <v>4</v>
      </c>
      <c r="K21" s="62">
        <v>9</v>
      </c>
      <c r="L21" s="62">
        <v>37</v>
      </c>
      <c r="M21" s="140">
        <v>37</v>
      </c>
      <c r="O21" s="73">
        <f t="shared" si="0"/>
        <v>76.470588235294116</v>
      </c>
      <c r="P21" s="74">
        <f t="shared" si="1"/>
        <v>81.25</v>
      </c>
      <c r="Q21" s="75">
        <f t="shared" si="2"/>
        <v>44.776119402985074</v>
      </c>
    </row>
    <row r="22" spans="2:17" x14ac:dyDescent="0.25">
      <c r="B22" s="50">
        <v>19</v>
      </c>
      <c r="C22" s="51" t="s">
        <v>14</v>
      </c>
      <c r="D22" s="62">
        <v>16</v>
      </c>
      <c r="E22" s="62">
        <v>47</v>
      </c>
      <c r="F22" s="62">
        <v>81</v>
      </c>
      <c r="G22" s="140">
        <v>81</v>
      </c>
      <c r="H22" s="68">
        <v>19</v>
      </c>
      <c r="I22" s="62" t="s">
        <v>83</v>
      </c>
      <c r="J22" s="62">
        <v>5</v>
      </c>
      <c r="K22" s="62">
        <v>12</v>
      </c>
      <c r="L22" s="62">
        <v>36</v>
      </c>
      <c r="M22" s="140">
        <v>36</v>
      </c>
      <c r="O22" s="73">
        <f t="shared" si="0"/>
        <v>68.75</v>
      </c>
      <c r="P22" s="74">
        <f t="shared" si="1"/>
        <v>74.468085106382972</v>
      </c>
      <c r="Q22" s="75">
        <f t="shared" si="2"/>
        <v>55.555555555555557</v>
      </c>
    </row>
    <row r="23" spans="2:17" x14ac:dyDescent="0.25">
      <c r="B23" s="50">
        <v>20</v>
      </c>
      <c r="C23" s="51" t="s">
        <v>53</v>
      </c>
      <c r="D23" s="62">
        <v>18</v>
      </c>
      <c r="E23" s="62">
        <v>54</v>
      </c>
      <c r="F23" s="62">
        <v>85</v>
      </c>
      <c r="G23" s="140">
        <v>85</v>
      </c>
      <c r="H23" s="68">
        <v>20</v>
      </c>
      <c r="I23" s="62" t="s">
        <v>84</v>
      </c>
      <c r="J23" s="62">
        <v>4</v>
      </c>
      <c r="K23" s="62">
        <v>10</v>
      </c>
      <c r="L23" s="62">
        <v>39</v>
      </c>
      <c r="M23" s="140">
        <v>39</v>
      </c>
      <c r="O23" s="73">
        <f t="shared" si="0"/>
        <v>77.777777777777786</v>
      </c>
      <c r="P23" s="74">
        <f t="shared" si="1"/>
        <v>81.481481481481481</v>
      </c>
      <c r="Q23" s="75">
        <f t="shared" si="2"/>
        <v>54.117647058823529</v>
      </c>
    </row>
    <row r="24" spans="2:17" x14ac:dyDescent="0.25">
      <c r="B24" s="50">
        <v>21</v>
      </c>
      <c r="C24" s="51" t="s">
        <v>61</v>
      </c>
      <c r="D24" s="62">
        <v>20</v>
      </c>
      <c r="E24" s="62">
        <v>51</v>
      </c>
      <c r="F24" s="62">
        <v>118</v>
      </c>
      <c r="G24" s="140">
        <v>112</v>
      </c>
      <c r="H24" s="68">
        <v>21</v>
      </c>
      <c r="I24" s="62" t="s">
        <v>85</v>
      </c>
      <c r="J24" s="62">
        <v>6</v>
      </c>
      <c r="K24" s="62">
        <v>13</v>
      </c>
      <c r="L24" s="62">
        <v>46</v>
      </c>
      <c r="M24" s="140">
        <v>46</v>
      </c>
      <c r="O24" s="73">
        <f t="shared" si="0"/>
        <v>70</v>
      </c>
      <c r="P24" s="74">
        <f t="shared" si="1"/>
        <v>74.509803921568633</v>
      </c>
      <c r="Q24" s="75">
        <f t="shared" si="2"/>
        <v>61.016949152542374</v>
      </c>
    </row>
    <row r="25" spans="2:17" x14ac:dyDescent="0.25">
      <c r="B25" s="50">
        <v>22</v>
      </c>
      <c r="C25" s="51" t="s">
        <v>54</v>
      </c>
      <c r="D25" s="62">
        <v>11</v>
      </c>
      <c r="E25" s="62">
        <v>35</v>
      </c>
      <c r="F25" s="62">
        <v>73</v>
      </c>
      <c r="G25" s="140">
        <v>73</v>
      </c>
      <c r="H25" s="68">
        <v>22</v>
      </c>
      <c r="I25" s="62" t="s">
        <v>86</v>
      </c>
      <c r="J25" s="62">
        <v>6</v>
      </c>
      <c r="K25" s="62">
        <v>12</v>
      </c>
      <c r="L25" s="62">
        <v>43</v>
      </c>
      <c r="M25" s="140">
        <v>43</v>
      </c>
      <c r="O25" s="73">
        <f t="shared" si="0"/>
        <v>45.454545454545453</v>
      </c>
      <c r="P25" s="74">
        <f t="shared" si="1"/>
        <v>65.714285714285708</v>
      </c>
      <c r="Q25" s="75">
        <f t="shared" si="2"/>
        <v>41.095890410958901</v>
      </c>
    </row>
    <row r="26" spans="2:17" ht="15.75" thickBot="1" x14ac:dyDescent="0.3">
      <c r="B26" s="52">
        <v>23</v>
      </c>
      <c r="C26" s="53" t="s">
        <v>62</v>
      </c>
      <c r="D26" s="64">
        <v>12</v>
      </c>
      <c r="E26" s="64">
        <v>36</v>
      </c>
      <c r="F26" s="64">
        <v>84</v>
      </c>
      <c r="G26" s="141">
        <v>84</v>
      </c>
      <c r="H26" s="68">
        <v>23</v>
      </c>
      <c r="I26" s="62" t="s">
        <v>87</v>
      </c>
      <c r="J26" s="62">
        <v>5</v>
      </c>
      <c r="K26" s="62">
        <v>12</v>
      </c>
      <c r="L26" s="62">
        <v>48</v>
      </c>
      <c r="M26" s="140">
        <v>48</v>
      </c>
      <c r="O26" s="76">
        <f t="shared" si="0"/>
        <v>58.333333333333336</v>
      </c>
      <c r="P26" s="77">
        <f t="shared" si="1"/>
        <v>66.666666666666657</v>
      </c>
      <c r="Q26" s="78">
        <f t="shared" si="2"/>
        <v>42.857142857142854</v>
      </c>
    </row>
    <row r="27" spans="2:17" x14ac:dyDescent="0.25">
      <c r="B27" s="61"/>
      <c r="E27"/>
      <c r="F27"/>
      <c r="G27"/>
      <c r="H27" s="68">
        <v>24</v>
      </c>
      <c r="I27" s="62" t="s">
        <v>88</v>
      </c>
      <c r="J27" s="62">
        <v>5</v>
      </c>
      <c r="K27" s="62">
        <v>11</v>
      </c>
      <c r="L27" s="62">
        <v>59</v>
      </c>
      <c r="M27" s="140">
        <v>59</v>
      </c>
      <c r="O27" s="72" t="e">
        <f>(#REF!-J27)/#REF!*100</f>
        <v>#REF!</v>
      </c>
      <c r="P27" s="72" t="e">
        <f>(B27-K27)/B27*100</f>
        <v>#DIV/0!</v>
      </c>
      <c r="Q27" s="72" t="e">
        <f>(C27-L27)/C27*100</f>
        <v>#DIV/0!</v>
      </c>
    </row>
    <row r="28" spans="2:17" x14ac:dyDescent="0.25">
      <c r="B28" s="61"/>
      <c r="E28"/>
      <c r="F28"/>
      <c r="G28"/>
      <c r="H28" s="68">
        <v>25</v>
      </c>
      <c r="I28" s="62" t="s">
        <v>89</v>
      </c>
      <c r="J28" s="62">
        <v>5</v>
      </c>
      <c r="K28" s="62">
        <v>12</v>
      </c>
      <c r="L28" s="62">
        <v>36</v>
      </c>
      <c r="M28" s="140">
        <v>36</v>
      </c>
      <c r="O28" s="72" t="e">
        <f>(#REF!-J28)/#REF!*100</f>
        <v>#REF!</v>
      </c>
      <c r="P28" s="72" t="e">
        <f>(B28-K28)/B28*100</f>
        <v>#DIV/0!</v>
      </c>
      <c r="Q28" s="72" t="e">
        <f>(C28-L28)/C28*100</f>
        <v>#DIV/0!</v>
      </c>
    </row>
    <row r="29" spans="2:17" ht="15.75" thickBot="1" x14ac:dyDescent="0.3">
      <c r="B29" s="61"/>
      <c r="E29"/>
      <c r="F29"/>
      <c r="G29"/>
      <c r="H29" s="69">
        <v>26</v>
      </c>
      <c r="I29" s="64" t="s">
        <v>90</v>
      </c>
      <c r="J29" s="64">
        <v>7</v>
      </c>
      <c r="K29" s="64">
        <v>16</v>
      </c>
      <c r="L29" s="64">
        <v>40</v>
      </c>
      <c r="M29" s="141">
        <v>40</v>
      </c>
      <c r="O29" s="71">
        <f>AVERAGE(O4:O26)</f>
        <v>62.715176625023176</v>
      </c>
      <c r="P29" s="71">
        <f t="shared" ref="P29:Q29" si="3">AVERAGE(P4:P26)</f>
        <v>70.66881585770183</v>
      </c>
      <c r="Q29" s="71">
        <f t="shared" si="3"/>
        <v>31.628006510315306</v>
      </c>
    </row>
    <row r="31" spans="2:17" x14ac:dyDescent="0.25">
      <c r="D31" s="72">
        <f>AVERAGE(D4:D26)</f>
        <v>13.869565217391305</v>
      </c>
      <c r="E31" s="72">
        <f t="shared" ref="E31:M31" si="4">AVERAGE(E4:E26)</f>
        <v>41.956521739130437</v>
      </c>
      <c r="F31" s="72">
        <f t="shared" si="4"/>
        <v>71.434782608695656</v>
      </c>
      <c r="G31" s="72">
        <f t="shared" si="4"/>
        <v>71.173913043478265</v>
      </c>
      <c r="H31" s="72"/>
      <c r="I31" s="72"/>
      <c r="J31" s="72">
        <f t="shared" si="4"/>
        <v>5</v>
      </c>
      <c r="K31" s="72">
        <f t="shared" si="4"/>
        <v>12.043478260869565</v>
      </c>
      <c r="L31" s="72">
        <f t="shared" si="4"/>
        <v>47.130434782608695</v>
      </c>
      <c r="M31" s="72">
        <f t="shared" si="4"/>
        <v>47</v>
      </c>
      <c r="N31" s="71"/>
      <c r="O31" s="72">
        <f>(D31-J31)/D31*100</f>
        <v>63.949843260188089</v>
      </c>
      <c r="P31" s="72">
        <f t="shared" ref="P31:Q31" si="5">(E31-K31)/E31*100</f>
        <v>71.295336787564779</v>
      </c>
      <c r="Q31" s="72">
        <f t="shared" si="5"/>
        <v>34.02312842361534</v>
      </c>
    </row>
    <row r="33" spans="2:17" ht="15.75" thickBot="1" x14ac:dyDescent="0.3"/>
    <row r="34" spans="2:17" ht="15.75" thickBot="1" x14ac:dyDescent="0.3">
      <c r="B34" s="54"/>
      <c r="C34" s="232" t="s">
        <v>111</v>
      </c>
      <c r="D34" s="232"/>
      <c r="E34" s="232"/>
      <c r="F34" s="232"/>
      <c r="G34" s="233"/>
      <c r="H34" s="234" t="s">
        <v>110</v>
      </c>
      <c r="I34" s="232"/>
      <c r="J34" s="232"/>
      <c r="K34" s="232"/>
      <c r="L34" s="232"/>
      <c r="M34" s="233"/>
      <c r="O34" s="235" t="s">
        <v>93</v>
      </c>
      <c r="P34" s="236"/>
      <c r="Q34" s="237"/>
    </row>
    <row r="35" spans="2:17" ht="15.75" thickBot="1" x14ac:dyDescent="0.3">
      <c r="B35" s="54"/>
      <c r="C35" s="56"/>
      <c r="D35" s="79" t="s">
        <v>2</v>
      </c>
      <c r="E35" s="59" t="s">
        <v>91</v>
      </c>
      <c r="F35" s="59" t="s">
        <v>5</v>
      </c>
      <c r="G35" s="60" t="s">
        <v>7</v>
      </c>
      <c r="H35" s="58" t="s">
        <v>49</v>
      </c>
      <c r="I35" s="59" t="s">
        <v>1</v>
      </c>
      <c r="J35" s="59" t="s">
        <v>2</v>
      </c>
      <c r="K35" s="59" t="s">
        <v>4</v>
      </c>
      <c r="L35" s="59" t="s">
        <v>5</v>
      </c>
      <c r="M35" s="60" t="s">
        <v>7</v>
      </c>
      <c r="O35" s="58" t="s">
        <v>2</v>
      </c>
      <c r="P35" s="59" t="s">
        <v>4</v>
      </c>
      <c r="Q35" s="60" t="s">
        <v>5</v>
      </c>
    </row>
    <row r="36" spans="2:17" ht="15.75" thickBot="1" x14ac:dyDescent="0.3">
      <c r="B36" s="68">
        <v>1</v>
      </c>
      <c r="C36" s="70">
        <v>43864</v>
      </c>
      <c r="D36" s="62">
        <v>17</v>
      </c>
      <c r="E36" s="62">
        <v>47</v>
      </c>
      <c r="F36" s="62">
        <v>83</v>
      </c>
      <c r="G36" s="63">
        <v>83</v>
      </c>
      <c r="H36" s="68">
        <v>1</v>
      </c>
      <c r="I36" s="70">
        <v>43834</v>
      </c>
      <c r="J36" s="62">
        <v>6</v>
      </c>
      <c r="K36" s="62">
        <v>15</v>
      </c>
      <c r="L36" s="62">
        <v>54</v>
      </c>
      <c r="M36" s="63">
        <v>54</v>
      </c>
      <c r="O36" s="80">
        <f>(D36-J36)/D36*100</f>
        <v>64.705882352941174</v>
      </c>
      <c r="P36" s="80">
        <f t="shared" ref="P36:Q36" si="6">(E36-K36)/E36*100</f>
        <v>68.085106382978722</v>
      </c>
      <c r="Q36" s="81">
        <f t="shared" si="6"/>
        <v>34.939759036144579</v>
      </c>
    </row>
    <row r="37" spans="2:17" ht="15.75" thickBot="1" x14ac:dyDescent="0.3">
      <c r="B37" s="68">
        <v>2</v>
      </c>
      <c r="C37" s="66">
        <v>43893</v>
      </c>
      <c r="D37" s="62">
        <v>18</v>
      </c>
      <c r="E37" s="62">
        <v>51</v>
      </c>
      <c r="F37" s="62">
        <v>65</v>
      </c>
      <c r="G37" s="63">
        <v>65</v>
      </c>
      <c r="H37" s="68">
        <v>2</v>
      </c>
      <c r="I37" s="66">
        <v>43865</v>
      </c>
      <c r="J37" s="62">
        <v>4</v>
      </c>
      <c r="K37" s="62">
        <v>9</v>
      </c>
      <c r="L37" s="62">
        <v>45</v>
      </c>
      <c r="M37" s="63">
        <v>45</v>
      </c>
      <c r="O37" s="73">
        <f t="shared" ref="O37:O58" si="7">(D37-J37)/D37*100</f>
        <v>77.777777777777786</v>
      </c>
      <c r="P37" s="73">
        <f t="shared" ref="P37:P58" si="8">(E37-K37)/E37*100</f>
        <v>82.35294117647058</v>
      </c>
      <c r="Q37" s="82">
        <f t="shared" ref="Q37:Q58" si="9">(F37-L37)/F37*100</f>
        <v>30.76923076923077</v>
      </c>
    </row>
    <row r="38" spans="2:17" ht="15.75" thickBot="1" x14ac:dyDescent="0.3">
      <c r="B38" s="68">
        <v>3</v>
      </c>
      <c r="C38" s="66">
        <v>43954</v>
      </c>
      <c r="D38" s="62">
        <v>19</v>
      </c>
      <c r="E38" s="62">
        <v>53</v>
      </c>
      <c r="F38" s="62">
        <v>85</v>
      </c>
      <c r="G38" s="63">
        <v>85</v>
      </c>
      <c r="H38" s="68">
        <v>3</v>
      </c>
      <c r="I38" s="66">
        <v>43894</v>
      </c>
      <c r="J38" s="62">
        <v>6</v>
      </c>
      <c r="K38" s="62">
        <v>13</v>
      </c>
      <c r="L38" s="62">
        <v>36</v>
      </c>
      <c r="M38" s="63">
        <v>36</v>
      </c>
      <c r="O38" s="73">
        <f t="shared" si="7"/>
        <v>68.421052631578945</v>
      </c>
      <c r="P38" s="73">
        <f t="shared" si="8"/>
        <v>75.471698113207552</v>
      </c>
      <c r="Q38" s="82">
        <f t="shared" si="9"/>
        <v>57.647058823529406</v>
      </c>
    </row>
    <row r="39" spans="2:17" ht="15.75" thickBot="1" x14ac:dyDescent="0.3">
      <c r="B39" s="68">
        <v>4</v>
      </c>
      <c r="C39" s="66">
        <v>43985</v>
      </c>
      <c r="D39" s="62">
        <v>15</v>
      </c>
      <c r="E39" s="62">
        <v>40</v>
      </c>
      <c r="F39" s="62">
        <v>88</v>
      </c>
      <c r="G39" s="63">
        <v>88</v>
      </c>
      <c r="H39" s="68">
        <v>4</v>
      </c>
      <c r="I39" s="66">
        <v>43925</v>
      </c>
      <c r="J39" s="62">
        <v>5</v>
      </c>
      <c r="K39" s="62">
        <v>16</v>
      </c>
      <c r="L39" s="62">
        <v>51</v>
      </c>
      <c r="M39" s="63">
        <v>51</v>
      </c>
      <c r="O39" s="73">
        <f t="shared" si="7"/>
        <v>66.666666666666657</v>
      </c>
      <c r="P39" s="73">
        <f t="shared" si="8"/>
        <v>60</v>
      </c>
      <c r="Q39" s="82">
        <f t="shared" si="9"/>
        <v>42.045454545454547</v>
      </c>
    </row>
    <row r="40" spans="2:17" ht="15.75" thickBot="1" x14ac:dyDescent="0.3">
      <c r="B40" s="68">
        <v>5</v>
      </c>
      <c r="C40" s="66">
        <v>44015</v>
      </c>
      <c r="D40" s="62">
        <v>14</v>
      </c>
      <c r="E40" s="62">
        <v>40</v>
      </c>
      <c r="F40" s="62">
        <v>67</v>
      </c>
      <c r="G40" s="63">
        <v>67</v>
      </c>
      <c r="H40" s="68">
        <v>5</v>
      </c>
      <c r="I40" s="66">
        <v>43986</v>
      </c>
      <c r="J40" s="62">
        <v>4</v>
      </c>
      <c r="K40" s="62">
        <v>13</v>
      </c>
      <c r="L40" s="62">
        <v>49</v>
      </c>
      <c r="M40" s="63">
        <v>49</v>
      </c>
      <c r="O40" s="73">
        <f t="shared" si="7"/>
        <v>71.428571428571431</v>
      </c>
      <c r="P40" s="73">
        <f t="shared" si="8"/>
        <v>67.5</v>
      </c>
      <c r="Q40" s="82">
        <f t="shared" si="9"/>
        <v>26.865671641791046</v>
      </c>
    </row>
    <row r="41" spans="2:17" ht="15.75" thickBot="1" x14ac:dyDescent="0.3">
      <c r="B41" s="68">
        <v>6</v>
      </c>
      <c r="C41" s="66">
        <v>44046</v>
      </c>
      <c r="D41" s="62">
        <v>12</v>
      </c>
      <c r="E41" s="62">
        <v>34</v>
      </c>
      <c r="F41" s="62">
        <v>73</v>
      </c>
      <c r="G41" s="63">
        <v>73</v>
      </c>
      <c r="H41" s="68">
        <v>6</v>
      </c>
      <c r="I41" s="66">
        <v>44016</v>
      </c>
      <c r="J41" s="62">
        <v>5</v>
      </c>
      <c r="K41" s="62">
        <v>11</v>
      </c>
      <c r="L41" s="62">
        <v>55</v>
      </c>
      <c r="M41" s="63">
        <v>55</v>
      </c>
      <c r="O41" s="73">
        <f t="shared" si="7"/>
        <v>58.333333333333336</v>
      </c>
      <c r="P41" s="73">
        <f t="shared" si="8"/>
        <v>67.64705882352942</v>
      </c>
      <c r="Q41" s="82">
        <f t="shared" si="9"/>
        <v>24.657534246575342</v>
      </c>
    </row>
    <row r="42" spans="2:17" ht="15.75" thickBot="1" x14ac:dyDescent="0.3">
      <c r="B42" s="68">
        <v>7</v>
      </c>
      <c r="C42" s="66">
        <v>44077</v>
      </c>
      <c r="D42" s="62">
        <v>10</v>
      </c>
      <c r="E42" s="62">
        <v>44</v>
      </c>
      <c r="F42" s="62">
        <v>76</v>
      </c>
      <c r="G42" s="63">
        <v>76</v>
      </c>
      <c r="H42" s="68">
        <v>7</v>
      </c>
      <c r="I42" s="66">
        <v>44047</v>
      </c>
      <c r="J42" s="62">
        <v>5</v>
      </c>
      <c r="K42" s="62">
        <v>10</v>
      </c>
      <c r="L42" s="62">
        <v>44</v>
      </c>
      <c r="M42" s="63">
        <v>44</v>
      </c>
      <c r="O42" s="73">
        <f t="shared" si="7"/>
        <v>50</v>
      </c>
      <c r="P42" s="73">
        <f t="shared" si="8"/>
        <v>77.272727272727266</v>
      </c>
      <c r="Q42" s="82">
        <f t="shared" si="9"/>
        <v>42.105263157894733</v>
      </c>
    </row>
    <row r="43" spans="2:17" ht="15.75" thickBot="1" x14ac:dyDescent="0.3">
      <c r="B43" s="68">
        <v>8</v>
      </c>
      <c r="C43" s="66">
        <v>44138</v>
      </c>
      <c r="D43" s="62">
        <v>14</v>
      </c>
      <c r="E43" s="62">
        <v>43</v>
      </c>
      <c r="F43" s="62">
        <v>72</v>
      </c>
      <c r="G43" s="63">
        <v>72</v>
      </c>
      <c r="H43" s="68">
        <v>8</v>
      </c>
      <c r="I43" s="66">
        <v>44078</v>
      </c>
      <c r="J43" s="62">
        <v>5</v>
      </c>
      <c r="K43" s="62">
        <v>12</v>
      </c>
      <c r="L43" s="62">
        <v>51</v>
      </c>
      <c r="M43" s="63">
        <v>51</v>
      </c>
      <c r="O43" s="73">
        <f t="shared" si="7"/>
        <v>64.285714285714292</v>
      </c>
      <c r="P43" s="73">
        <f t="shared" si="8"/>
        <v>72.093023255813947</v>
      </c>
      <c r="Q43" s="82">
        <f t="shared" si="9"/>
        <v>29.166666666666668</v>
      </c>
    </row>
    <row r="44" spans="2:17" ht="15.75" thickBot="1" x14ac:dyDescent="0.3">
      <c r="B44" s="68">
        <v>9</v>
      </c>
      <c r="C44" s="66">
        <v>44168</v>
      </c>
      <c r="D44" s="62">
        <v>12</v>
      </c>
      <c r="E44" s="62">
        <v>37</v>
      </c>
      <c r="F44" s="62">
        <v>62</v>
      </c>
      <c r="G44" s="63">
        <v>62</v>
      </c>
      <c r="H44" s="68">
        <v>9</v>
      </c>
      <c r="I44" s="66">
        <v>44108</v>
      </c>
      <c r="J44" s="62">
        <v>5</v>
      </c>
      <c r="K44" s="62">
        <v>10</v>
      </c>
      <c r="L44" s="62">
        <v>56</v>
      </c>
      <c r="M44" s="63">
        <v>56</v>
      </c>
      <c r="O44" s="73">
        <f t="shared" si="7"/>
        <v>58.333333333333336</v>
      </c>
      <c r="P44" s="73">
        <f t="shared" si="8"/>
        <v>72.972972972972968</v>
      </c>
      <c r="Q44" s="82">
        <f t="shared" si="9"/>
        <v>9.67741935483871</v>
      </c>
    </row>
    <row r="45" spans="2:17" ht="15.75" thickBot="1" x14ac:dyDescent="0.3">
      <c r="B45" s="68">
        <v>10</v>
      </c>
      <c r="C45" s="62" t="s">
        <v>96</v>
      </c>
      <c r="D45" s="62">
        <v>12</v>
      </c>
      <c r="E45" s="62">
        <v>35</v>
      </c>
      <c r="F45" s="62">
        <v>63</v>
      </c>
      <c r="G45" s="63">
        <v>63</v>
      </c>
      <c r="H45" s="68">
        <v>10</v>
      </c>
      <c r="I45" s="66">
        <v>44139</v>
      </c>
      <c r="J45" s="62">
        <v>5</v>
      </c>
      <c r="K45" s="62">
        <v>10</v>
      </c>
      <c r="L45" s="62">
        <v>66</v>
      </c>
      <c r="M45" s="63">
        <v>66</v>
      </c>
      <c r="O45" s="73">
        <f t="shared" si="7"/>
        <v>58.333333333333336</v>
      </c>
      <c r="P45" s="73">
        <f t="shared" si="8"/>
        <v>71.428571428571431</v>
      </c>
      <c r="Q45" s="82">
        <f t="shared" si="9"/>
        <v>-4.7619047619047619</v>
      </c>
    </row>
    <row r="46" spans="2:17" x14ac:dyDescent="0.25">
      <c r="B46" s="68">
        <v>11</v>
      </c>
      <c r="C46" s="62" t="s">
        <v>97</v>
      </c>
      <c r="D46" s="62">
        <v>11</v>
      </c>
      <c r="E46" s="62">
        <v>34</v>
      </c>
      <c r="F46" s="62">
        <v>71</v>
      </c>
      <c r="G46" s="63">
        <v>71</v>
      </c>
      <c r="H46" s="68">
        <v>11</v>
      </c>
      <c r="I46" s="62" t="s">
        <v>75</v>
      </c>
      <c r="J46" s="62">
        <v>5</v>
      </c>
      <c r="K46" s="62">
        <v>12</v>
      </c>
      <c r="L46" s="62">
        <v>59</v>
      </c>
      <c r="M46" s="63">
        <v>59</v>
      </c>
      <c r="O46" s="73">
        <f t="shared" si="7"/>
        <v>54.54545454545454</v>
      </c>
      <c r="P46" s="73">
        <f t="shared" si="8"/>
        <v>64.705882352941174</v>
      </c>
      <c r="Q46" s="82">
        <f t="shared" si="9"/>
        <v>16.901408450704224</v>
      </c>
    </row>
    <row r="47" spans="2:17" x14ac:dyDescent="0.25">
      <c r="B47" s="68">
        <v>12</v>
      </c>
      <c r="C47" s="62" t="s">
        <v>98</v>
      </c>
      <c r="D47" s="62">
        <v>13</v>
      </c>
      <c r="E47" s="62">
        <v>39</v>
      </c>
      <c r="F47" s="62">
        <v>62</v>
      </c>
      <c r="G47" s="63">
        <v>62</v>
      </c>
      <c r="H47" s="68">
        <v>12</v>
      </c>
      <c r="I47" s="62" t="s">
        <v>76</v>
      </c>
      <c r="J47" s="62">
        <v>5</v>
      </c>
      <c r="K47" s="62">
        <v>13</v>
      </c>
      <c r="L47" s="62">
        <v>50</v>
      </c>
      <c r="M47" s="63"/>
      <c r="O47" s="73">
        <f t="shared" si="7"/>
        <v>61.53846153846154</v>
      </c>
      <c r="P47" s="73">
        <f t="shared" si="8"/>
        <v>66.666666666666657</v>
      </c>
      <c r="Q47" s="82">
        <f t="shared" si="9"/>
        <v>19.35483870967742</v>
      </c>
    </row>
    <row r="48" spans="2:17" x14ac:dyDescent="0.25">
      <c r="B48" s="68">
        <v>13</v>
      </c>
      <c r="C48" s="62" t="s">
        <v>99</v>
      </c>
      <c r="D48" s="62">
        <v>12</v>
      </c>
      <c r="E48" s="62">
        <v>37</v>
      </c>
      <c r="F48" s="62">
        <v>57</v>
      </c>
      <c r="G48" s="63">
        <v>57</v>
      </c>
      <c r="H48" s="68">
        <v>13</v>
      </c>
      <c r="I48" s="62" t="s">
        <v>77</v>
      </c>
      <c r="J48" s="62">
        <v>5</v>
      </c>
      <c r="K48" s="62">
        <v>14</v>
      </c>
      <c r="L48" s="62">
        <v>44</v>
      </c>
      <c r="M48" s="63">
        <v>44</v>
      </c>
      <c r="O48" s="73">
        <f t="shared" si="7"/>
        <v>58.333333333333336</v>
      </c>
      <c r="P48" s="73">
        <f t="shared" si="8"/>
        <v>62.162162162162161</v>
      </c>
      <c r="Q48" s="82">
        <f t="shared" si="9"/>
        <v>22.807017543859647</v>
      </c>
    </row>
    <row r="49" spans="2:17" x14ac:dyDescent="0.25">
      <c r="B49" s="68">
        <v>14</v>
      </c>
      <c r="C49" s="62" t="s">
        <v>100</v>
      </c>
      <c r="D49" s="62">
        <v>11</v>
      </c>
      <c r="E49" s="62">
        <v>48</v>
      </c>
      <c r="F49" s="62">
        <v>70</v>
      </c>
      <c r="G49" s="63">
        <v>70</v>
      </c>
      <c r="H49" s="68">
        <v>14</v>
      </c>
      <c r="I49" s="62" t="s">
        <v>78</v>
      </c>
      <c r="J49" s="62">
        <v>6</v>
      </c>
      <c r="K49" s="62">
        <v>17</v>
      </c>
      <c r="L49" s="62">
        <v>55</v>
      </c>
      <c r="M49" s="63">
        <v>55</v>
      </c>
      <c r="O49" s="73">
        <f t="shared" si="7"/>
        <v>45.454545454545453</v>
      </c>
      <c r="P49" s="73">
        <f t="shared" si="8"/>
        <v>64.583333333333343</v>
      </c>
      <c r="Q49" s="82">
        <f t="shared" si="9"/>
        <v>21.428571428571427</v>
      </c>
    </row>
    <row r="50" spans="2:17" x14ac:dyDescent="0.25">
      <c r="B50" s="68">
        <v>15</v>
      </c>
      <c r="C50" s="62" t="s">
        <v>101</v>
      </c>
      <c r="D50" s="62">
        <v>11</v>
      </c>
      <c r="E50" s="62">
        <v>35</v>
      </c>
      <c r="F50" s="62">
        <v>67</v>
      </c>
      <c r="G50" s="63">
        <v>67</v>
      </c>
      <c r="H50" s="68">
        <v>15</v>
      </c>
      <c r="I50" s="62" t="s">
        <v>79</v>
      </c>
      <c r="J50" s="62">
        <v>5</v>
      </c>
      <c r="K50" s="62">
        <v>13</v>
      </c>
      <c r="L50" s="62">
        <v>45</v>
      </c>
      <c r="M50" s="63">
        <v>45</v>
      </c>
      <c r="O50" s="73">
        <f t="shared" si="7"/>
        <v>54.54545454545454</v>
      </c>
      <c r="P50" s="73">
        <f t="shared" si="8"/>
        <v>62.857142857142854</v>
      </c>
      <c r="Q50" s="82">
        <f t="shared" si="9"/>
        <v>32.835820895522389</v>
      </c>
    </row>
    <row r="51" spans="2:17" x14ac:dyDescent="0.25">
      <c r="B51" s="68">
        <v>16</v>
      </c>
      <c r="C51" s="62" t="s">
        <v>102</v>
      </c>
      <c r="D51" s="62">
        <v>7</v>
      </c>
      <c r="E51" s="62">
        <v>29</v>
      </c>
      <c r="F51" s="62">
        <v>63</v>
      </c>
      <c r="G51" s="63">
        <v>63</v>
      </c>
      <c r="H51" s="68">
        <v>16</v>
      </c>
      <c r="I51" s="62" t="s">
        <v>80</v>
      </c>
      <c r="J51" s="62">
        <v>5</v>
      </c>
      <c r="K51" s="62">
        <v>12</v>
      </c>
      <c r="L51" s="62">
        <v>40</v>
      </c>
      <c r="M51" s="63">
        <v>40</v>
      </c>
      <c r="O51" s="73">
        <f t="shared" si="7"/>
        <v>28.571428571428569</v>
      </c>
      <c r="P51" s="73">
        <f t="shared" si="8"/>
        <v>58.620689655172406</v>
      </c>
      <c r="Q51" s="82">
        <f t="shared" si="9"/>
        <v>36.507936507936506</v>
      </c>
    </row>
    <row r="52" spans="2:17" x14ac:dyDescent="0.25">
      <c r="B52" s="68">
        <v>17</v>
      </c>
      <c r="C52" s="62" t="s">
        <v>103</v>
      </c>
      <c r="D52" s="62">
        <v>10</v>
      </c>
      <c r="E52" s="62">
        <v>32</v>
      </c>
      <c r="F52" s="62">
        <v>59</v>
      </c>
      <c r="G52" s="63">
        <v>59</v>
      </c>
      <c r="H52" s="68">
        <v>17</v>
      </c>
      <c r="I52" s="62" t="s">
        <v>81</v>
      </c>
      <c r="J52" s="62">
        <v>4</v>
      </c>
      <c r="K52" s="62">
        <v>9</v>
      </c>
      <c r="L52" s="62">
        <v>35</v>
      </c>
      <c r="M52" s="63">
        <v>35</v>
      </c>
      <c r="O52" s="73">
        <f t="shared" si="7"/>
        <v>60</v>
      </c>
      <c r="P52" s="73">
        <f t="shared" si="8"/>
        <v>71.875</v>
      </c>
      <c r="Q52" s="82">
        <f t="shared" si="9"/>
        <v>40.677966101694921</v>
      </c>
    </row>
    <row r="53" spans="2:17" x14ac:dyDescent="0.25">
      <c r="B53" s="68">
        <v>18</v>
      </c>
      <c r="C53" s="62" t="s">
        <v>104</v>
      </c>
      <c r="D53" s="62">
        <v>10</v>
      </c>
      <c r="E53" s="62">
        <v>35</v>
      </c>
      <c r="F53" s="62">
        <v>56</v>
      </c>
      <c r="G53" s="63">
        <v>56</v>
      </c>
      <c r="H53" s="68">
        <v>18</v>
      </c>
      <c r="I53" s="62" t="s">
        <v>82</v>
      </c>
      <c r="J53" s="62">
        <v>4</v>
      </c>
      <c r="K53" s="62">
        <v>9</v>
      </c>
      <c r="L53" s="62">
        <v>37</v>
      </c>
      <c r="M53" s="63">
        <v>37</v>
      </c>
      <c r="O53" s="73">
        <f t="shared" si="7"/>
        <v>60</v>
      </c>
      <c r="P53" s="73">
        <f t="shared" si="8"/>
        <v>74.285714285714292</v>
      </c>
      <c r="Q53" s="82">
        <f t="shared" si="9"/>
        <v>33.928571428571431</v>
      </c>
    </row>
    <row r="54" spans="2:17" x14ac:dyDescent="0.25">
      <c r="B54" s="68">
        <v>19</v>
      </c>
      <c r="C54" s="62" t="s">
        <v>105</v>
      </c>
      <c r="D54" s="62">
        <v>8</v>
      </c>
      <c r="E54" s="62">
        <v>25</v>
      </c>
      <c r="F54" s="62">
        <v>65</v>
      </c>
      <c r="G54" s="63">
        <v>65</v>
      </c>
      <c r="H54" s="68">
        <v>19</v>
      </c>
      <c r="I54" s="62" t="s">
        <v>83</v>
      </c>
      <c r="J54" s="62">
        <v>5</v>
      </c>
      <c r="K54" s="62">
        <v>12</v>
      </c>
      <c r="L54" s="62">
        <v>36</v>
      </c>
      <c r="M54" s="63">
        <v>36</v>
      </c>
      <c r="O54" s="73">
        <f t="shared" si="7"/>
        <v>37.5</v>
      </c>
      <c r="P54" s="73">
        <f t="shared" si="8"/>
        <v>52</v>
      </c>
      <c r="Q54" s="82">
        <f t="shared" si="9"/>
        <v>44.61538461538462</v>
      </c>
    </row>
    <row r="55" spans="2:17" x14ac:dyDescent="0.25">
      <c r="B55" s="68">
        <v>20</v>
      </c>
      <c r="C55" s="62" t="s">
        <v>106</v>
      </c>
      <c r="D55" s="62">
        <v>5</v>
      </c>
      <c r="E55" s="62">
        <v>18</v>
      </c>
      <c r="F55" s="62">
        <v>77</v>
      </c>
      <c r="G55" s="63">
        <v>77</v>
      </c>
      <c r="H55" s="68">
        <v>20</v>
      </c>
      <c r="I55" s="62" t="s">
        <v>84</v>
      </c>
      <c r="J55" s="62">
        <v>4</v>
      </c>
      <c r="K55" s="62">
        <v>10</v>
      </c>
      <c r="L55" s="62">
        <v>39</v>
      </c>
      <c r="M55" s="63">
        <v>39</v>
      </c>
      <c r="O55" s="73">
        <f t="shared" si="7"/>
        <v>20</v>
      </c>
      <c r="P55" s="73">
        <f t="shared" si="8"/>
        <v>44.444444444444443</v>
      </c>
      <c r="Q55" s="82">
        <f t="shared" si="9"/>
        <v>49.350649350649348</v>
      </c>
    </row>
    <row r="56" spans="2:17" x14ac:dyDescent="0.25">
      <c r="B56" s="68">
        <v>21</v>
      </c>
      <c r="C56" s="62" t="s">
        <v>107</v>
      </c>
      <c r="D56" s="62">
        <v>8</v>
      </c>
      <c r="E56" s="62">
        <v>19</v>
      </c>
      <c r="F56" s="62">
        <v>88</v>
      </c>
      <c r="G56" s="63">
        <v>88</v>
      </c>
      <c r="H56" s="68">
        <v>21</v>
      </c>
      <c r="I56" s="62" t="s">
        <v>85</v>
      </c>
      <c r="J56" s="62">
        <v>6</v>
      </c>
      <c r="K56" s="62">
        <v>13</v>
      </c>
      <c r="L56" s="62">
        <v>46</v>
      </c>
      <c r="M56" s="63">
        <v>46</v>
      </c>
      <c r="O56" s="73">
        <f t="shared" si="7"/>
        <v>25</v>
      </c>
      <c r="P56" s="73">
        <f t="shared" si="8"/>
        <v>31.578947368421051</v>
      </c>
      <c r="Q56" s="82">
        <f t="shared" si="9"/>
        <v>47.727272727272727</v>
      </c>
    </row>
    <row r="57" spans="2:17" x14ac:dyDescent="0.25">
      <c r="B57" s="68">
        <v>22</v>
      </c>
      <c r="C57" s="62" t="s">
        <v>108</v>
      </c>
      <c r="D57" s="62">
        <v>4</v>
      </c>
      <c r="E57" s="62">
        <v>11</v>
      </c>
      <c r="F57" s="62">
        <v>80</v>
      </c>
      <c r="G57" s="63">
        <v>80</v>
      </c>
      <c r="H57" s="68">
        <v>22</v>
      </c>
      <c r="I57" s="62" t="s">
        <v>86</v>
      </c>
      <c r="J57" s="62">
        <v>6</v>
      </c>
      <c r="K57" s="62">
        <v>12</v>
      </c>
      <c r="L57" s="62">
        <v>43</v>
      </c>
      <c r="M57" s="63">
        <v>43</v>
      </c>
      <c r="O57" s="73">
        <f t="shared" si="7"/>
        <v>-50</v>
      </c>
      <c r="P57" s="73">
        <f t="shared" si="8"/>
        <v>-9.0909090909090917</v>
      </c>
      <c r="Q57" s="82">
        <f t="shared" si="9"/>
        <v>46.25</v>
      </c>
    </row>
    <row r="58" spans="2:17" ht="15.75" thickBot="1" x14ac:dyDescent="0.3">
      <c r="B58" s="69">
        <v>23</v>
      </c>
      <c r="C58" s="64" t="s">
        <v>109</v>
      </c>
      <c r="D58" s="64">
        <v>5</v>
      </c>
      <c r="E58" s="64">
        <v>14</v>
      </c>
      <c r="F58" s="64">
        <v>65</v>
      </c>
      <c r="G58" s="65">
        <v>65</v>
      </c>
      <c r="H58" s="68">
        <v>23</v>
      </c>
      <c r="I58" s="62" t="s">
        <v>87</v>
      </c>
      <c r="J58" s="62">
        <v>5</v>
      </c>
      <c r="K58" s="62">
        <v>12</v>
      </c>
      <c r="L58" s="62">
        <v>48</v>
      </c>
      <c r="M58" s="63">
        <v>48</v>
      </c>
      <c r="O58" s="76">
        <f t="shared" si="7"/>
        <v>0</v>
      </c>
      <c r="P58" s="76">
        <f t="shared" si="8"/>
        <v>14.285714285714285</v>
      </c>
      <c r="Q58" s="83">
        <f t="shared" si="9"/>
        <v>26.153846153846157</v>
      </c>
    </row>
    <row r="59" spans="2:17" x14ac:dyDescent="0.25">
      <c r="H59" s="68">
        <v>24</v>
      </c>
      <c r="I59" s="62" t="s">
        <v>88</v>
      </c>
      <c r="J59" s="62">
        <v>5</v>
      </c>
      <c r="K59" s="62">
        <v>11</v>
      </c>
      <c r="L59" s="62">
        <v>59</v>
      </c>
      <c r="M59" s="63">
        <v>59</v>
      </c>
      <c r="O59" s="72"/>
      <c r="P59" s="72"/>
      <c r="Q59" s="72"/>
    </row>
    <row r="60" spans="2:17" x14ac:dyDescent="0.25">
      <c r="H60" s="68">
        <v>25</v>
      </c>
      <c r="I60" s="62" t="s">
        <v>89</v>
      </c>
      <c r="J60" s="62">
        <v>5</v>
      </c>
      <c r="K60" s="62">
        <v>12</v>
      </c>
      <c r="L60" s="62">
        <v>36</v>
      </c>
      <c r="M60" s="63">
        <v>36</v>
      </c>
      <c r="O60" s="72">
        <f>AVERAGE(O36:O58)</f>
        <v>47.555406223127314</v>
      </c>
      <c r="P60" s="72"/>
      <c r="Q60" s="72"/>
    </row>
    <row r="61" spans="2:17" ht="15.75" thickBot="1" x14ac:dyDescent="0.3">
      <c r="H61" s="69">
        <v>26</v>
      </c>
      <c r="I61" s="64" t="s">
        <v>90</v>
      </c>
      <c r="J61" s="64">
        <v>7</v>
      </c>
      <c r="K61" s="64">
        <v>16</v>
      </c>
      <c r="L61" s="64">
        <v>40</v>
      </c>
      <c r="M61" s="65">
        <v>40</v>
      </c>
      <c r="O61" s="72"/>
      <c r="P61" s="72"/>
      <c r="Q61" s="72"/>
    </row>
    <row r="63" spans="2:17" x14ac:dyDescent="0.25">
      <c r="D63" s="72">
        <f>AVERAGE(D36:D58)</f>
        <v>11.217391304347826</v>
      </c>
      <c r="E63" s="72">
        <f t="shared" ref="E63:L63" si="10">AVERAGE(E36:E58)</f>
        <v>34.782608695652172</v>
      </c>
      <c r="F63" s="72">
        <f t="shared" si="10"/>
        <v>70.173913043478265</v>
      </c>
      <c r="G63" s="72"/>
      <c r="H63" s="72"/>
      <c r="I63" s="72"/>
      <c r="J63" s="72">
        <f t="shared" si="10"/>
        <v>5</v>
      </c>
      <c r="K63" s="72">
        <f t="shared" si="10"/>
        <v>12.043478260869565</v>
      </c>
      <c r="L63" s="72">
        <f t="shared" si="10"/>
        <v>47.130434782608695</v>
      </c>
      <c r="M63" s="72"/>
      <c r="N63" s="71"/>
      <c r="O63" s="72">
        <f>(D63-J63)/D63*100</f>
        <v>55.426356589147282</v>
      </c>
      <c r="P63" s="72">
        <f t="shared" ref="P63:Q63" si="11">(E63-K63)/E63*100</f>
        <v>65.375</v>
      </c>
      <c r="Q63" s="72">
        <f t="shared" si="11"/>
        <v>32.837670384138789</v>
      </c>
    </row>
  </sheetData>
  <mergeCells count="6">
    <mergeCell ref="C34:G34"/>
    <mergeCell ref="H34:M34"/>
    <mergeCell ref="O34:Q34"/>
    <mergeCell ref="O2:Q2"/>
    <mergeCell ref="B2:G2"/>
    <mergeCell ref="H2:M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5"/>
  <sheetViews>
    <sheetView tabSelected="1" topLeftCell="A19" workbookViewId="0">
      <selection activeCell="M40" sqref="M40"/>
    </sheetView>
  </sheetViews>
  <sheetFormatPr defaultRowHeight="15" x14ac:dyDescent="0.25"/>
  <cols>
    <col min="9" max="9" width="9.140625" style="61"/>
  </cols>
  <sheetData>
    <row r="1" spans="1:19" ht="15.75" thickBot="1" x14ac:dyDescent="0.3">
      <c r="I1" s="1" t="s">
        <v>112</v>
      </c>
      <c r="J1" s="121" t="s">
        <v>1</v>
      </c>
      <c r="K1" s="239" t="s">
        <v>131</v>
      </c>
      <c r="L1" s="240"/>
      <c r="M1" s="240"/>
      <c r="N1" s="241"/>
      <c r="P1" s="238" t="s">
        <v>183</v>
      </c>
      <c r="Q1" s="238"/>
      <c r="R1" s="238"/>
      <c r="S1" s="238"/>
    </row>
    <row r="2" spans="1:19" ht="15.75" thickBot="1" x14ac:dyDescent="0.3">
      <c r="A2" s="242" t="s">
        <v>112</v>
      </c>
      <c r="B2" s="244" t="s">
        <v>1</v>
      </c>
      <c r="C2" s="239" t="s">
        <v>123</v>
      </c>
      <c r="D2" s="240"/>
      <c r="E2" s="240"/>
      <c r="F2" s="241"/>
      <c r="I2" s="101"/>
      <c r="J2" s="128"/>
      <c r="K2" s="123" t="s">
        <v>2</v>
      </c>
      <c r="L2" s="109" t="s">
        <v>91</v>
      </c>
      <c r="M2" s="62" t="s">
        <v>5</v>
      </c>
      <c r="N2" s="109" t="s">
        <v>6</v>
      </c>
      <c r="P2" s="238"/>
      <c r="Q2" s="238"/>
      <c r="R2" s="238"/>
      <c r="S2" s="238"/>
    </row>
    <row r="3" spans="1:19" ht="15.75" thickBot="1" x14ac:dyDescent="0.3">
      <c r="A3" s="243"/>
      <c r="B3" s="245"/>
      <c r="C3" s="118" t="s">
        <v>2</v>
      </c>
      <c r="D3" s="118" t="s">
        <v>91</v>
      </c>
      <c r="E3" s="118" t="s">
        <v>5</v>
      </c>
      <c r="F3" s="119" t="s">
        <v>6</v>
      </c>
      <c r="I3" s="109">
        <v>1</v>
      </c>
      <c r="J3" s="124">
        <v>43955</v>
      </c>
      <c r="K3" s="127">
        <v>6.1852664067576351</v>
      </c>
      <c r="L3" s="81">
        <v>25.223862608864753</v>
      </c>
      <c r="M3" s="127">
        <v>44.244008048062007</v>
      </c>
      <c r="N3" s="81">
        <v>57.2510483682941</v>
      </c>
    </row>
    <row r="4" spans="1:19" x14ac:dyDescent="0.25">
      <c r="A4" s="84">
        <v>1</v>
      </c>
      <c r="B4" s="85">
        <v>43833</v>
      </c>
      <c r="C4" s="89">
        <v>8.0029239766081872</v>
      </c>
      <c r="D4" s="89">
        <v>36.658322046907841</v>
      </c>
      <c r="E4" s="98">
        <v>81.959141326521234</v>
      </c>
      <c r="F4" s="89">
        <v>134.53775910679769</v>
      </c>
      <c r="I4" s="112">
        <v>2</v>
      </c>
      <c r="J4" s="125">
        <v>44078</v>
      </c>
      <c r="K4" s="74">
        <v>4.6095272904483435</v>
      </c>
      <c r="L4" s="82">
        <v>29.934480907951173</v>
      </c>
      <c r="M4" s="74">
        <v>86.736468279026596</v>
      </c>
      <c r="N4" s="82">
        <v>186.16653886387232</v>
      </c>
    </row>
    <row r="5" spans="1:19" x14ac:dyDescent="0.25">
      <c r="A5" s="87">
        <v>2</v>
      </c>
      <c r="B5" s="88">
        <v>43954</v>
      </c>
      <c r="C5" s="89">
        <v>8.9836744639376231</v>
      </c>
      <c r="D5" s="89">
        <v>37.293866127573878</v>
      </c>
      <c r="E5" s="98">
        <v>89.750947220669502</v>
      </c>
      <c r="F5" s="89">
        <v>195.34384380344181</v>
      </c>
      <c r="I5" s="112">
        <v>3</v>
      </c>
      <c r="J5" s="125">
        <v>44169</v>
      </c>
      <c r="K5" s="74">
        <v>6.6566804743339816</v>
      </c>
      <c r="L5" s="82">
        <v>38.448469329406436</v>
      </c>
      <c r="M5" s="74">
        <v>78.723208378388151</v>
      </c>
      <c r="N5" s="82">
        <v>177.30327751979755</v>
      </c>
    </row>
    <row r="6" spans="1:19" x14ac:dyDescent="0.25">
      <c r="A6" s="87">
        <v>3</v>
      </c>
      <c r="B6" s="88">
        <v>44046</v>
      </c>
      <c r="C6" s="89">
        <v>9.134056205328136</v>
      </c>
      <c r="D6" s="90">
        <v>39.99950421110028</v>
      </c>
      <c r="E6" s="98">
        <v>103.75890453241813</v>
      </c>
      <c r="F6" s="90">
        <v>151.39912482130276</v>
      </c>
      <c r="I6" s="112">
        <v>4</v>
      </c>
      <c r="J6" s="125" t="s">
        <v>126</v>
      </c>
      <c r="K6" s="74">
        <v>3.3541666666666665</v>
      </c>
      <c r="L6" s="82">
        <v>30.016362529687182</v>
      </c>
      <c r="M6" s="74">
        <v>68.275379452264602</v>
      </c>
      <c r="N6" s="82">
        <v>117.98482091810648</v>
      </c>
    </row>
    <row r="7" spans="1:19" x14ac:dyDescent="0.25">
      <c r="A7" s="87">
        <v>4</v>
      </c>
      <c r="B7" s="88">
        <v>44168</v>
      </c>
      <c r="C7" s="89">
        <v>9.9807707927225469</v>
      </c>
      <c r="D7" s="90">
        <v>64.569744648371099</v>
      </c>
      <c r="E7" s="98">
        <v>79.869208923874723</v>
      </c>
      <c r="F7" s="90">
        <v>228.98392405421384</v>
      </c>
      <c r="I7" s="112">
        <v>5</v>
      </c>
      <c r="J7" s="125" t="s">
        <v>127</v>
      </c>
      <c r="K7" s="74">
        <v>4.6749106562703053</v>
      </c>
      <c r="L7" s="82">
        <v>32.060241403148979</v>
      </c>
      <c r="M7" s="74">
        <v>53.906170523709449</v>
      </c>
      <c r="N7" s="82">
        <v>96.616817807864479</v>
      </c>
    </row>
    <row r="8" spans="1:19" x14ac:dyDescent="0.25">
      <c r="A8" s="87">
        <v>5</v>
      </c>
      <c r="B8" s="88" t="s">
        <v>113</v>
      </c>
      <c r="C8" s="89">
        <v>8.1206140350877192</v>
      </c>
      <c r="D8" s="90">
        <v>66.941895093638777</v>
      </c>
      <c r="E8" s="98">
        <v>73.109409955814996</v>
      </c>
      <c r="F8" s="90">
        <v>193.89898409506236</v>
      </c>
      <c r="I8" s="112">
        <v>6</v>
      </c>
      <c r="J8" s="125" t="s">
        <v>128</v>
      </c>
      <c r="K8" s="74">
        <v>5.8178118908382066</v>
      </c>
      <c r="L8" s="82">
        <v>31.140134036475501</v>
      </c>
      <c r="M8" s="74">
        <v>56.405148185350988</v>
      </c>
      <c r="N8" s="82">
        <v>95.440769915535611</v>
      </c>
    </row>
    <row r="9" spans="1:19" x14ac:dyDescent="0.25">
      <c r="A9" s="87">
        <v>6</v>
      </c>
      <c r="B9" s="88" t="s">
        <v>114</v>
      </c>
      <c r="C9" s="89">
        <v>9.0032894736842106</v>
      </c>
      <c r="D9" s="90">
        <v>88.010500605440711</v>
      </c>
      <c r="E9" s="98">
        <v>88.831455538086587</v>
      </c>
      <c r="F9" s="90">
        <v>157.18216718288946</v>
      </c>
      <c r="I9" s="112">
        <v>7</v>
      </c>
      <c r="J9" s="125" t="s">
        <v>129</v>
      </c>
      <c r="K9" s="74">
        <v>9.2386695906432745</v>
      </c>
      <c r="L9" s="82">
        <v>29.232484517037367</v>
      </c>
      <c r="M9" s="74">
        <v>50.005766113816691</v>
      </c>
      <c r="N9" s="82">
        <v>93.940341053113272</v>
      </c>
    </row>
    <row r="10" spans="1:19" ht="15.75" thickBot="1" x14ac:dyDescent="0.3">
      <c r="A10" s="120">
        <v>7</v>
      </c>
      <c r="B10" s="91" t="s">
        <v>115</v>
      </c>
      <c r="C10" s="92">
        <v>4.7246020142949963</v>
      </c>
      <c r="D10" s="93">
        <v>23.13576681088449</v>
      </c>
      <c r="E10" s="100">
        <v>31.331828490655578</v>
      </c>
      <c r="F10" s="93">
        <v>44.338408572797078</v>
      </c>
      <c r="I10" s="115">
        <v>8</v>
      </c>
      <c r="J10" s="126" t="s">
        <v>130</v>
      </c>
      <c r="K10" s="77">
        <v>3.223399935022742</v>
      </c>
      <c r="L10" s="83">
        <v>26.796372752727056</v>
      </c>
      <c r="M10" s="77">
        <v>61.392755769905101</v>
      </c>
      <c r="N10" s="83">
        <v>96.887319476082567</v>
      </c>
    </row>
    <row r="11" spans="1:19" x14ac:dyDescent="0.25">
      <c r="A11" s="96" t="s">
        <v>143</v>
      </c>
      <c r="B11" s="104"/>
      <c r="C11" s="95">
        <f>AVERAGE(C4:C10)</f>
        <v>8.2785615659519163</v>
      </c>
      <c r="D11" s="95">
        <f t="shared" ref="D11:F11" si="0">AVERAGE(D4:D10)</f>
        <v>50.944228506273866</v>
      </c>
      <c r="E11" s="95">
        <f t="shared" si="0"/>
        <v>78.372985141148675</v>
      </c>
      <c r="F11" s="95">
        <f t="shared" si="0"/>
        <v>157.9548873766436</v>
      </c>
      <c r="K11" s="95">
        <f>AVERAGE(K4:K10)</f>
        <v>5.3678809291747882</v>
      </c>
      <c r="L11" s="95">
        <f t="shared" ref="L11:N11" si="1">AVERAGE(L4:L10)</f>
        <v>31.089792210919097</v>
      </c>
      <c r="M11" s="95">
        <f t="shared" si="1"/>
        <v>65.063556671780219</v>
      </c>
      <c r="N11" s="95">
        <f t="shared" si="1"/>
        <v>123.47712650776747</v>
      </c>
      <c r="P11" s="95">
        <f>(C11-K11)/C11*100</f>
        <v>35.159255790863249</v>
      </c>
      <c r="Q11" s="95">
        <f t="shared" ref="Q11:S11" si="2">(D11-L11)/D11*100</f>
        <v>38.972886384783827</v>
      </c>
      <c r="R11" s="95">
        <f t="shared" si="2"/>
        <v>16.982163490899772</v>
      </c>
      <c r="S11" s="95">
        <f t="shared" si="2"/>
        <v>21.827599918870426</v>
      </c>
    </row>
    <row r="12" spans="1:19" ht="15.75" thickBot="1" x14ac:dyDescent="0.3">
      <c r="A12" s="94"/>
      <c r="B12" s="104"/>
      <c r="C12" s="95"/>
      <c r="D12" s="96"/>
      <c r="E12" s="95"/>
      <c r="F12" s="96"/>
    </row>
    <row r="13" spans="1:19" ht="15.75" thickBot="1" x14ac:dyDescent="0.3">
      <c r="A13" s="242" t="s">
        <v>112</v>
      </c>
      <c r="B13" s="244" t="s">
        <v>1</v>
      </c>
      <c r="C13" s="239" t="s">
        <v>124</v>
      </c>
      <c r="D13" s="240"/>
      <c r="E13" s="240"/>
      <c r="F13" s="241"/>
      <c r="I13" s="1" t="s">
        <v>112</v>
      </c>
      <c r="J13" s="121" t="s">
        <v>1</v>
      </c>
      <c r="K13" s="239" t="s">
        <v>132</v>
      </c>
      <c r="L13" s="240"/>
      <c r="M13" s="240"/>
      <c r="N13" s="241"/>
    </row>
    <row r="14" spans="1:19" ht="15.75" thickBot="1" x14ac:dyDescent="0.3">
      <c r="A14" s="243"/>
      <c r="B14" s="245"/>
      <c r="C14" s="118" t="s">
        <v>2</v>
      </c>
      <c r="D14" s="118" t="s">
        <v>91</v>
      </c>
      <c r="E14" s="118" t="s">
        <v>5</v>
      </c>
      <c r="F14" s="119" t="s">
        <v>6</v>
      </c>
      <c r="I14" s="101"/>
      <c r="J14" s="122"/>
      <c r="K14" s="129" t="s">
        <v>2</v>
      </c>
      <c r="L14" s="129" t="s">
        <v>91</v>
      </c>
      <c r="M14" s="64" t="s">
        <v>5</v>
      </c>
      <c r="N14" s="129" t="s">
        <v>6</v>
      </c>
      <c r="P14" s="129" t="s">
        <v>2</v>
      </c>
      <c r="Q14" s="129" t="s">
        <v>91</v>
      </c>
      <c r="R14" s="55" t="s">
        <v>5</v>
      </c>
      <c r="S14" s="129" t="s">
        <v>6</v>
      </c>
    </row>
    <row r="15" spans="1:19" x14ac:dyDescent="0.25">
      <c r="A15" s="97">
        <v>1</v>
      </c>
      <c r="B15" s="85">
        <v>43864</v>
      </c>
      <c r="C15" s="86">
        <v>10.618258609486679</v>
      </c>
      <c r="D15" s="86">
        <v>50.364542709161888</v>
      </c>
      <c r="E15" s="106">
        <v>127.90607411701937</v>
      </c>
      <c r="F15" s="105">
        <v>261.52307407865237</v>
      </c>
      <c r="I15" s="109">
        <v>1</v>
      </c>
      <c r="J15" s="124">
        <v>43986</v>
      </c>
      <c r="K15" s="127">
        <v>2.804946393762183</v>
      </c>
      <c r="L15" s="81">
        <v>21.780385166938441</v>
      </c>
      <c r="M15" s="127">
        <v>64.688416657933701</v>
      </c>
      <c r="N15" s="81">
        <v>146.46647306754082</v>
      </c>
      <c r="P15" s="73">
        <f>(C15-K15)/C15*100</f>
        <v>73.583743842364541</v>
      </c>
      <c r="Q15" s="74">
        <f t="shared" ref="Q15:S15" si="3">(D15-L15)/D15*100</f>
        <v>56.754526110337665</v>
      </c>
      <c r="R15" s="74">
        <f t="shared" si="3"/>
        <v>49.425062801355921</v>
      </c>
      <c r="S15" s="75">
        <f t="shared" si="3"/>
        <v>43.99481820732521</v>
      </c>
    </row>
    <row r="16" spans="1:19" x14ac:dyDescent="0.25">
      <c r="A16" s="103">
        <v>2</v>
      </c>
      <c r="B16" s="88">
        <v>43985</v>
      </c>
      <c r="C16" s="89">
        <v>11.095557179987004</v>
      </c>
      <c r="D16" s="90">
        <v>65.767468366954887</v>
      </c>
      <c r="E16" s="95">
        <v>122.23193179288437</v>
      </c>
      <c r="F16" s="89">
        <v>254.28009106112634</v>
      </c>
      <c r="I16" s="112">
        <v>2</v>
      </c>
      <c r="J16" s="125">
        <v>44108</v>
      </c>
      <c r="K16" s="74">
        <v>5.7733512020792714</v>
      </c>
      <c r="L16" s="82">
        <v>20.227698547927478</v>
      </c>
      <c r="M16" s="74">
        <v>40.905592203611683</v>
      </c>
      <c r="N16" s="82">
        <v>158.40336483691442</v>
      </c>
      <c r="P16" s="73">
        <f t="shared" ref="P16:P21" si="4">(C16-K16)/C16*100</f>
        <v>47.967000589275202</v>
      </c>
      <c r="Q16" s="74">
        <f t="shared" ref="Q16:Q22" si="5">(D16-L16)/D16*100</f>
        <v>69.243610784794996</v>
      </c>
      <c r="R16" s="74">
        <f t="shared" ref="R16:R22" si="6">(E16-M16)/E16*100</f>
        <v>66.534446765576718</v>
      </c>
      <c r="S16" s="75">
        <f t="shared" ref="S16:S22" si="7">(F16-N16)/F16*100</f>
        <v>37.705164342246569</v>
      </c>
    </row>
    <row r="17" spans="1:19" x14ac:dyDescent="0.25">
      <c r="A17" s="103">
        <v>3</v>
      </c>
      <c r="B17" s="88">
        <v>44077</v>
      </c>
      <c r="C17" s="89">
        <v>10.4090318388564</v>
      </c>
      <c r="D17" s="90">
        <v>52.171548688183258</v>
      </c>
      <c r="E17" s="96">
        <v>116.22705299454172</v>
      </c>
      <c r="F17" s="89">
        <v>334.84673398898127</v>
      </c>
      <c r="I17" s="112">
        <v>3</v>
      </c>
      <c r="J17" s="125" t="s">
        <v>133</v>
      </c>
      <c r="K17" s="74">
        <v>4.7193713450292387</v>
      </c>
      <c r="L17" s="82">
        <v>12.460791985824081</v>
      </c>
      <c r="M17" s="74">
        <v>65.778228704121005</v>
      </c>
      <c r="N17" s="82">
        <v>202.70503587721018</v>
      </c>
      <c r="P17" s="73">
        <f t="shared" si="4"/>
        <v>54.660804020100507</v>
      </c>
      <c r="Q17" s="74">
        <f t="shared" si="5"/>
        <v>76.115733001718581</v>
      </c>
      <c r="R17" s="74">
        <f t="shared" si="6"/>
        <v>43.405406048443737</v>
      </c>
      <c r="S17" s="75">
        <f t="shared" si="7"/>
        <v>39.463337909134111</v>
      </c>
    </row>
    <row r="18" spans="1:19" x14ac:dyDescent="0.25">
      <c r="A18" s="99">
        <v>4</v>
      </c>
      <c r="B18" s="88" t="s">
        <v>116</v>
      </c>
      <c r="C18" s="89">
        <v>10.454800194931774</v>
      </c>
      <c r="D18" s="90">
        <v>50.284231332316487</v>
      </c>
      <c r="E18" s="96">
        <v>122.09129985058962</v>
      </c>
      <c r="F18" s="89">
        <v>286.03185882670829</v>
      </c>
      <c r="I18" s="112">
        <v>4</v>
      </c>
      <c r="J18" s="125" t="s">
        <v>134</v>
      </c>
      <c r="K18" s="74">
        <v>6.6932951591942818</v>
      </c>
      <c r="L18" s="82">
        <v>7.5072404721794976</v>
      </c>
      <c r="M18" s="74">
        <v>67.671545493496509</v>
      </c>
      <c r="N18" s="82">
        <v>168.97787508680503</v>
      </c>
      <c r="P18" s="73">
        <f t="shared" si="4"/>
        <v>35.978736710444032</v>
      </c>
      <c r="Q18" s="74">
        <f t="shared" si="5"/>
        <v>85.070388323993782</v>
      </c>
      <c r="R18" s="74">
        <f t="shared" si="6"/>
        <v>44.572999405928023</v>
      </c>
      <c r="S18" s="75">
        <f t="shared" si="7"/>
        <v>40.923407700126205</v>
      </c>
    </row>
    <row r="19" spans="1:19" x14ac:dyDescent="0.25">
      <c r="A19" s="103">
        <v>5</v>
      </c>
      <c r="B19" s="88" t="s">
        <v>117</v>
      </c>
      <c r="C19" s="89">
        <v>9.4413580246913575</v>
      </c>
      <c r="D19" s="90">
        <v>39.003702033227064</v>
      </c>
      <c r="E19" s="96">
        <v>106.01498954405376</v>
      </c>
      <c r="F19" s="89">
        <v>260.0636729668517</v>
      </c>
      <c r="I19" s="112">
        <v>5</v>
      </c>
      <c r="J19" s="125" t="s">
        <v>135</v>
      </c>
      <c r="K19" s="74">
        <v>6.1133447043534765</v>
      </c>
      <c r="L19" s="82">
        <v>17.717968021508891</v>
      </c>
      <c r="M19" s="74">
        <v>44.626650820383674</v>
      </c>
      <c r="N19" s="82">
        <v>102.9630220215558</v>
      </c>
      <c r="P19" s="73">
        <f t="shared" si="4"/>
        <v>35.24930747922437</v>
      </c>
      <c r="Q19" s="74">
        <f t="shared" si="5"/>
        <v>54.573624815369982</v>
      </c>
      <c r="R19" s="74">
        <f t="shared" si="6"/>
        <v>57.905338657945727</v>
      </c>
      <c r="S19" s="75">
        <f t="shared" si="7"/>
        <v>60.408533476846003</v>
      </c>
    </row>
    <row r="20" spans="1:19" x14ac:dyDescent="0.25">
      <c r="A20" s="103">
        <v>6</v>
      </c>
      <c r="B20" s="88" t="s">
        <v>118</v>
      </c>
      <c r="C20" s="89">
        <v>8.4017625081221556</v>
      </c>
      <c r="D20" s="90">
        <v>62.612027678084594</v>
      </c>
      <c r="E20" s="96">
        <v>125.03320839998621</v>
      </c>
      <c r="F20" s="89">
        <v>282.61196302570562</v>
      </c>
      <c r="I20" s="112">
        <v>6</v>
      </c>
      <c r="J20" s="125" t="s">
        <v>136</v>
      </c>
      <c r="K20" s="74">
        <v>3.3803200129954516</v>
      </c>
      <c r="L20" s="82">
        <v>19.983545269702738</v>
      </c>
      <c r="M20" s="74">
        <v>40.917426673027613</v>
      </c>
      <c r="N20" s="82">
        <v>103.6904542790865</v>
      </c>
      <c r="P20" s="73">
        <f t="shared" si="4"/>
        <v>59.766536964980546</v>
      </c>
      <c r="Q20" s="74">
        <f t="shared" si="5"/>
        <v>68.083536006138061</v>
      </c>
      <c r="R20" s="74">
        <f t="shared" si="6"/>
        <v>67.27475268639742</v>
      </c>
      <c r="S20" s="75">
        <f t="shared" si="7"/>
        <v>63.309955753835126</v>
      </c>
    </row>
    <row r="21" spans="1:19" ht="15.75" thickBot="1" x14ac:dyDescent="0.3">
      <c r="A21" s="107">
        <v>7</v>
      </c>
      <c r="B21" s="91" t="s">
        <v>119</v>
      </c>
      <c r="C21" s="92">
        <v>10.16711338531514</v>
      </c>
      <c r="D21" s="93">
        <v>51.331752698355182</v>
      </c>
      <c r="E21" s="108">
        <v>109.7130066191272</v>
      </c>
      <c r="F21" s="92">
        <v>326.0122225093757</v>
      </c>
      <c r="I21" s="115">
        <v>7</v>
      </c>
      <c r="J21" s="126" t="s">
        <v>137</v>
      </c>
      <c r="K21" s="77">
        <v>4.6095272904483426</v>
      </c>
      <c r="L21" s="83">
        <v>22.365607477396097</v>
      </c>
      <c r="M21" s="77">
        <v>44.248841632332208</v>
      </c>
      <c r="N21" s="83">
        <v>101.50499869360745</v>
      </c>
      <c r="P21" s="76">
        <f t="shared" si="4"/>
        <v>54.662379421221871</v>
      </c>
      <c r="Q21" s="77">
        <f t="shared" si="5"/>
        <v>56.429293172931629</v>
      </c>
      <c r="R21" s="77">
        <f t="shared" si="6"/>
        <v>59.66855435295497</v>
      </c>
      <c r="S21" s="78">
        <f t="shared" si="7"/>
        <v>68.864664670451646</v>
      </c>
    </row>
    <row r="22" spans="1:19" x14ac:dyDescent="0.25">
      <c r="A22" s="96" t="s">
        <v>143</v>
      </c>
      <c r="B22" s="104"/>
      <c r="C22" s="95">
        <f>AVERAGE(C15:C21)</f>
        <v>10.08398310591293</v>
      </c>
      <c r="D22" s="95">
        <f t="shared" ref="D22:F22" si="8">AVERAGE(D15:D21)</f>
        <v>53.076467643754768</v>
      </c>
      <c r="E22" s="95">
        <f t="shared" si="8"/>
        <v>118.45965190260031</v>
      </c>
      <c r="F22" s="95">
        <f t="shared" si="8"/>
        <v>286.48137377962877</v>
      </c>
      <c r="K22" s="72">
        <f>AVERAGE(K15:K21)</f>
        <v>4.8705937296946065</v>
      </c>
      <c r="L22" s="72">
        <f t="shared" ref="L22:N22" si="9">AVERAGE(L15:L21)</f>
        <v>17.434748134496747</v>
      </c>
      <c r="M22" s="72">
        <f t="shared" si="9"/>
        <v>52.690957454986616</v>
      </c>
      <c r="N22" s="72">
        <f t="shared" si="9"/>
        <v>140.67303198038863</v>
      </c>
      <c r="P22" s="131">
        <f>(C22-K22)/C22*100</f>
        <v>51.699703593923672</v>
      </c>
      <c r="Q22" s="131">
        <f t="shared" si="5"/>
        <v>67.151641945131971</v>
      </c>
      <c r="R22" s="131">
        <f t="shared" si="6"/>
        <v>55.519911962673937</v>
      </c>
      <c r="S22" s="131">
        <f t="shared" si="7"/>
        <v>50.896272897448782</v>
      </c>
    </row>
    <row r="23" spans="1:19" ht="15.75" thickBot="1" x14ac:dyDescent="0.3">
      <c r="A23" s="96"/>
      <c r="B23" s="104"/>
      <c r="C23" s="95"/>
      <c r="D23" s="96"/>
      <c r="E23" s="96"/>
      <c r="F23" s="95"/>
    </row>
    <row r="24" spans="1:19" ht="15.75" thickBot="1" x14ac:dyDescent="0.3">
      <c r="A24" s="242" t="s">
        <v>112</v>
      </c>
      <c r="B24" s="244" t="s">
        <v>1</v>
      </c>
      <c r="C24" s="239" t="s">
        <v>125</v>
      </c>
      <c r="D24" s="240"/>
      <c r="E24" s="240"/>
      <c r="F24" s="241"/>
      <c r="I24" s="1" t="s">
        <v>112</v>
      </c>
      <c r="J24" s="121" t="s">
        <v>1</v>
      </c>
      <c r="K24" s="239" t="s">
        <v>161</v>
      </c>
      <c r="L24" s="240"/>
      <c r="M24" s="240"/>
      <c r="N24" s="241"/>
    </row>
    <row r="25" spans="1:19" ht="15.75" thickBot="1" x14ac:dyDescent="0.3">
      <c r="A25" s="243"/>
      <c r="B25" s="245"/>
      <c r="C25" s="118" t="s">
        <v>2</v>
      </c>
      <c r="D25" s="118" t="s">
        <v>91</v>
      </c>
      <c r="E25" s="118" t="s">
        <v>5</v>
      </c>
      <c r="F25" s="119" t="s">
        <v>6</v>
      </c>
      <c r="I25" s="102"/>
      <c r="J25" s="122"/>
      <c r="K25" s="129" t="s">
        <v>2</v>
      </c>
      <c r="L25" s="129" t="s">
        <v>91</v>
      </c>
      <c r="M25" s="64" t="s">
        <v>5</v>
      </c>
      <c r="N25" s="129" t="s">
        <v>6</v>
      </c>
    </row>
    <row r="26" spans="1:19" x14ac:dyDescent="0.25">
      <c r="A26" s="109">
        <v>1</v>
      </c>
      <c r="B26" s="110">
        <v>43924</v>
      </c>
      <c r="C26" s="105">
        <v>12.520914554905781</v>
      </c>
      <c r="D26" s="111">
        <v>62.096348996621778</v>
      </c>
      <c r="E26" s="105">
        <v>93.732782369145937</v>
      </c>
      <c r="F26" s="111">
        <v>255.19972451790628</v>
      </c>
      <c r="I26" s="67">
        <v>1</v>
      </c>
      <c r="J26" s="110">
        <v>44047</v>
      </c>
      <c r="K26" s="127">
        <v>8.2416666666666671</v>
      </c>
      <c r="L26" s="81">
        <v>27.927392518748963</v>
      </c>
      <c r="M26" s="127">
        <v>81.446453225164547</v>
      </c>
      <c r="N26" s="81">
        <v>214.32712297558223</v>
      </c>
    </row>
    <row r="27" spans="1:19" x14ac:dyDescent="0.25">
      <c r="A27" s="112">
        <v>2</v>
      </c>
      <c r="B27" s="113">
        <v>44015</v>
      </c>
      <c r="C27" s="90">
        <v>11.461704028589992</v>
      </c>
      <c r="D27" s="114">
        <v>55.209741459474039</v>
      </c>
      <c r="E27" s="90">
        <v>108.59129992680211</v>
      </c>
      <c r="F27" s="114">
        <v>271.49705756887346</v>
      </c>
      <c r="I27" s="68">
        <v>2</v>
      </c>
      <c r="J27" s="113">
        <v>44139</v>
      </c>
      <c r="K27" s="74">
        <v>7.9133487654321</v>
      </c>
      <c r="L27" s="82">
        <v>57.204140651134672</v>
      </c>
      <c r="M27" s="74">
        <v>86.48865735419713</v>
      </c>
      <c r="N27" s="82">
        <v>190.58555534727279</v>
      </c>
    </row>
    <row r="28" spans="1:19" x14ac:dyDescent="0.25">
      <c r="A28" s="112">
        <v>3</v>
      </c>
      <c r="B28" s="113">
        <v>44138</v>
      </c>
      <c r="C28" s="90">
        <v>10.223996913580246</v>
      </c>
      <c r="D28" s="114">
        <v>59.609500519989389</v>
      </c>
      <c r="E28" s="89">
        <v>49.308199363189765</v>
      </c>
      <c r="F28" s="114">
        <v>205.50663937315639</v>
      </c>
      <c r="I28" s="68">
        <v>3</v>
      </c>
      <c r="J28" s="113" t="s">
        <v>138</v>
      </c>
      <c r="K28" s="74">
        <v>4.2368421052631575</v>
      </c>
      <c r="L28" s="82">
        <v>36.488245305639403</v>
      </c>
      <c r="M28" s="74">
        <v>58.121154871899847</v>
      </c>
      <c r="N28" s="82">
        <v>213.06534320872797</v>
      </c>
    </row>
    <row r="29" spans="1:19" x14ac:dyDescent="0.25">
      <c r="A29" s="112">
        <v>4</v>
      </c>
      <c r="B29" s="113" t="s">
        <v>120</v>
      </c>
      <c r="C29" s="90">
        <v>12.099845679012345</v>
      </c>
      <c r="D29" s="114">
        <v>42.694551901066667</v>
      </c>
      <c r="E29" s="90">
        <v>97.386729954865018</v>
      </c>
      <c r="F29" s="114">
        <v>270.81499332721302</v>
      </c>
      <c r="I29" s="68">
        <v>4</v>
      </c>
      <c r="J29" s="113" t="s">
        <v>139</v>
      </c>
      <c r="K29" s="74">
        <v>4.7187175113710191</v>
      </c>
      <c r="L29" s="82">
        <v>22.43278794412727</v>
      </c>
      <c r="M29" s="74">
        <v>58.246549322253308</v>
      </c>
      <c r="N29" s="82">
        <v>188.72275264213849</v>
      </c>
    </row>
    <row r="30" spans="1:19" x14ac:dyDescent="0.25">
      <c r="A30" s="112">
        <v>5</v>
      </c>
      <c r="B30" s="113" t="s">
        <v>121</v>
      </c>
      <c r="C30" s="90">
        <v>10.605181936322287</v>
      </c>
      <c r="D30" s="114">
        <v>63.07034462789705</v>
      </c>
      <c r="E30" s="90">
        <v>88.427300028553191</v>
      </c>
      <c r="F30" s="114">
        <v>244.91610751006337</v>
      </c>
      <c r="I30" s="68">
        <v>5</v>
      </c>
      <c r="J30" s="113" t="s">
        <v>140</v>
      </c>
      <c r="K30" s="74">
        <v>4.8449074074074074</v>
      </c>
      <c r="L30" s="82">
        <v>23.687780367016572</v>
      </c>
      <c r="M30" s="74">
        <v>52.370786743730626</v>
      </c>
      <c r="N30" s="82">
        <v>107.66896674346906</v>
      </c>
    </row>
    <row r="31" spans="1:19" ht="15.75" thickBot="1" x14ac:dyDescent="0.3">
      <c r="A31" s="115">
        <v>6</v>
      </c>
      <c r="B31" s="116" t="s">
        <v>122</v>
      </c>
      <c r="C31" s="93">
        <v>8.9405214424951271</v>
      </c>
      <c r="D31" s="117">
        <v>56.150180989718869</v>
      </c>
      <c r="E31" s="92">
        <v>99.004955842437269</v>
      </c>
      <c r="F31" s="117">
        <v>229.11253190342029</v>
      </c>
      <c r="I31" s="68">
        <v>6</v>
      </c>
      <c r="J31" s="113" t="s">
        <v>141</v>
      </c>
      <c r="K31" s="74">
        <v>3.5045484080571794</v>
      </c>
      <c r="L31" s="82">
        <v>24.624746430212841</v>
      </c>
      <c r="M31" s="74">
        <v>39.922521389560295</v>
      </c>
      <c r="N31" s="82">
        <v>110.53480727196963</v>
      </c>
    </row>
    <row r="32" spans="1:19" ht="15.75" thickBot="1" x14ac:dyDescent="0.3">
      <c r="I32" s="69">
        <v>7</v>
      </c>
      <c r="J32" s="116" t="s">
        <v>142</v>
      </c>
      <c r="K32" s="77">
        <v>2.6480263157894735</v>
      </c>
      <c r="L32" s="83">
        <v>24.280203930931364</v>
      </c>
      <c r="M32" s="77">
        <v>37.910737765620063</v>
      </c>
      <c r="N32" s="83">
        <v>139.89222523669426</v>
      </c>
    </row>
    <row r="33" spans="1:19" x14ac:dyDescent="0.25">
      <c r="A33" s="96" t="s">
        <v>143</v>
      </c>
      <c r="C33" s="71">
        <f>AVERAGE(C26:C31)</f>
        <v>10.975360759150965</v>
      </c>
      <c r="D33" s="71">
        <f t="shared" ref="D33:F33" si="10">AVERAGE(D26:D31)</f>
        <v>56.471778082461299</v>
      </c>
      <c r="E33" s="71">
        <f t="shared" si="10"/>
        <v>89.408544580832213</v>
      </c>
      <c r="F33" s="71">
        <f t="shared" si="10"/>
        <v>246.1745090334388</v>
      </c>
      <c r="K33" s="71">
        <f>AVERAGE(K26:K32)</f>
        <v>5.1582938828552871</v>
      </c>
      <c r="L33" s="71">
        <f t="shared" ref="L33:N33" si="11">AVERAGE(L26:L32)</f>
        <v>30.949328163973007</v>
      </c>
      <c r="M33" s="71">
        <f t="shared" si="11"/>
        <v>59.215265810346537</v>
      </c>
      <c r="N33" s="71">
        <f t="shared" si="11"/>
        <v>166.39953906083633</v>
      </c>
      <c r="P33" s="71">
        <f>(C33-K33)/C33*100</f>
        <v>53.001145055259904</v>
      </c>
      <c r="Q33" s="71">
        <f t="shared" ref="Q33:S33" si="12">(D33-L33)/D33*100</f>
        <v>45.195052794724937</v>
      </c>
      <c r="R33" s="71">
        <f t="shared" si="12"/>
        <v>33.770014836992033</v>
      </c>
      <c r="S33" s="71">
        <f t="shared" si="12"/>
        <v>32.405861307827912</v>
      </c>
    </row>
    <row r="37" spans="1:19" ht="15.75" thickBot="1" x14ac:dyDescent="0.3"/>
    <row r="38" spans="1:19" ht="15.75" thickBot="1" x14ac:dyDescent="0.3">
      <c r="A38" s="242" t="s">
        <v>112</v>
      </c>
      <c r="B38" s="244" t="s">
        <v>1</v>
      </c>
      <c r="C38" s="239" t="s">
        <v>149</v>
      </c>
      <c r="D38" s="240"/>
      <c r="E38" s="240"/>
      <c r="F38" s="241"/>
      <c r="I38" s="1" t="s">
        <v>112</v>
      </c>
      <c r="J38" s="121" t="s">
        <v>1</v>
      </c>
      <c r="K38" s="239" t="s">
        <v>131</v>
      </c>
      <c r="L38" s="240"/>
      <c r="M38" s="240"/>
      <c r="N38" s="241"/>
    </row>
    <row r="39" spans="1:19" ht="15.75" thickBot="1" x14ac:dyDescent="0.3">
      <c r="A39" s="246"/>
      <c r="B39" s="247"/>
      <c r="C39" s="134" t="s">
        <v>2</v>
      </c>
      <c r="D39" s="135" t="s">
        <v>91</v>
      </c>
      <c r="E39" s="135" t="s">
        <v>5</v>
      </c>
      <c r="F39" s="136" t="s">
        <v>6</v>
      </c>
      <c r="I39" s="101"/>
      <c r="J39" s="128"/>
      <c r="K39" s="123" t="s">
        <v>2</v>
      </c>
      <c r="L39" s="109" t="s">
        <v>91</v>
      </c>
      <c r="M39" s="62" t="s">
        <v>5</v>
      </c>
      <c r="N39" s="109" t="s">
        <v>6</v>
      </c>
    </row>
    <row r="40" spans="1:19" x14ac:dyDescent="0.25">
      <c r="A40" s="109">
        <v>1</v>
      </c>
      <c r="B40" s="137">
        <v>43559</v>
      </c>
      <c r="C40" s="81">
        <v>8.0441154970760227</v>
      </c>
      <c r="D40" s="127">
        <v>36.989479316715084</v>
      </c>
      <c r="E40" s="81">
        <v>70.410973166394271</v>
      </c>
      <c r="F40" s="130">
        <v>186.3220414419101</v>
      </c>
      <c r="I40" s="109">
        <v>1</v>
      </c>
      <c r="J40" s="124">
        <v>43955</v>
      </c>
      <c r="K40" s="127">
        <v>6.1852664067576351</v>
      </c>
      <c r="L40" s="81">
        <v>25.223862608864753</v>
      </c>
      <c r="M40" s="127">
        <v>44.244008048062007</v>
      </c>
      <c r="N40" s="81">
        <v>57.2510483682941</v>
      </c>
    </row>
    <row r="41" spans="1:19" x14ac:dyDescent="0.25">
      <c r="A41" s="112">
        <v>2</v>
      </c>
      <c r="B41" s="104">
        <v>43650</v>
      </c>
      <c r="C41" s="82">
        <v>7.7152371669915523</v>
      </c>
      <c r="D41" s="74">
        <v>50.591837290863822</v>
      </c>
      <c r="E41" s="82">
        <v>61.80712814682034</v>
      </c>
      <c r="F41" s="75">
        <v>130.90549282000879</v>
      </c>
      <c r="I41" s="112">
        <v>2</v>
      </c>
      <c r="J41" s="125">
        <v>44078</v>
      </c>
      <c r="K41" s="74">
        <v>4.6095272904483435</v>
      </c>
      <c r="L41" s="82">
        <v>29.934480907951173</v>
      </c>
      <c r="M41" s="74">
        <v>86.736468279026596</v>
      </c>
      <c r="N41" s="82">
        <v>186.16653886387232</v>
      </c>
    </row>
    <row r="42" spans="1:19" x14ac:dyDescent="0.25">
      <c r="A42" s="112">
        <v>3</v>
      </c>
      <c r="B42" s="104">
        <v>43773</v>
      </c>
      <c r="C42" s="82">
        <v>9.0621345029239766</v>
      </c>
      <c r="D42" s="74">
        <v>39.277844918088824</v>
      </c>
      <c r="E42" s="82">
        <v>62.608669383147948</v>
      </c>
      <c r="F42" s="75">
        <v>119.52852440512827</v>
      </c>
      <c r="I42" s="112">
        <v>3</v>
      </c>
      <c r="J42" s="125">
        <v>44169</v>
      </c>
      <c r="K42" s="74">
        <v>6.6566804743339816</v>
      </c>
      <c r="L42" s="82">
        <v>38.448469329406436</v>
      </c>
      <c r="M42" s="74">
        <v>78.723208378388151</v>
      </c>
      <c r="N42" s="82">
        <v>177.30327751979755</v>
      </c>
    </row>
    <row r="43" spans="1:19" x14ac:dyDescent="0.25">
      <c r="A43" s="112">
        <v>4</v>
      </c>
      <c r="B43" s="104" t="s">
        <v>144</v>
      </c>
      <c r="C43" s="82">
        <v>9.2452079272254704</v>
      </c>
      <c r="D43" s="74">
        <v>26.118699331552353</v>
      </c>
      <c r="E43" s="82">
        <v>80.550992412952098</v>
      </c>
      <c r="F43" s="75">
        <v>216.23784102826571</v>
      </c>
      <c r="I43" s="112">
        <v>4</v>
      </c>
      <c r="J43" s="125" t="s">
        <v>126</v>
      </c>
      <c r="K43" s="74">
        <v>3.3541666666666665</v>
      </c>
      <c r="L43" s="82">
        <v>30.016362529687182</v>
      </c>
      <c r="M43" s="74">
        <v>68.275379452264602</v>
      </c>
      <c r="N43" s="82">
        <v>117.98482091810648</v>
      </c>
    </row>
    <row r="44" spans="1:19" x14ac:dyDescent="0.25">
      <c r="A44" s="112">
        <v>5</v>
      </c>
      <c r="B44" s="104" t="s">
        <v>145</v>
      </c>
      <c r="C44" s="82">
        <v>9.2975146198830405</v>
      </c>
      <c r="D44" s="74">
        <v>35.272696476964768</v>
      </c>
      <c r="E44" s="82">
        <v>50.088429123133743</v>
      </c>
      <c r="F44" s="75">
        <v>147.91545390077133</v>
      </c>
      <c r="I44" s="112">
        <v>5</v>
      </c>
      <c r="J44" s="125" t="s">
        <v>127</v>
      </c>
      <c r="K44" s="74">
        <v>4.6749106562703053</v>
      </c>
      <c r="L44" s="82">
        <v>32.060241403148979</v>
      </c>
      <c r="M44" s="74">
        <v>53.906170523709449</v>
      </c>
      <c r="N44" s="82">
        <v>96.616817807864479</v>
      </c>
    </row>
    <row r="45" spans="1:19" x14ac:dyDescent="0.25">
      <c r="A45" s="112">
        <v>6</v>
      </c>
      <c r="B45" s="104" t="s">
        <v>146</v>
      </c>
      <c r="C45" s="82">
        <v>8.388685834957764</v>
      </c>
      <c r="D45" s="74">
        <v>53.991939896678893</v>
      </c>
      <c r="E45" s="82">
        <v>66.512749515709046</v>
      </c>
      <c r="F45" s="75">
        <v>176.3845002492595</v>
      </c>
      <c r="I45" s="112">
        <v>6</v>
      </c>
      <c r="J45" s="125" t="s">
        <v>128</v>
      </c>
      <c r="K45" s="74">
        <v>5.8178118908382066</v>
      </c>
      <c r="L45" s="82">
        <v>31.140134036475501</v>
      </c>
      <c r="M45" s="74">
        <v>56.405148185350988</v>
      </c>
      <c r="N45" s="82">
        <v>95.440769915535611</v>
      </c>
    </row>
    <row r="46" spans="1:19" x14ac:dyDescent="0.25">
      <c r="A46" s="112">
        <v>7</v>
      </c>
      <c r="B46" s="104" t="s">
        <v>147</v>
      </c>
      <c r="C46" s="82">
        <v>9.4766650422352168</v>
      </c>
      <c r="D46" s="74">
        <v>32.627809265191594</v>
      </c>
      <c r="E46" s="82">
        <v>76.045680169391474</v>
      </c>
      <c r="F46" s="75">
        <v>175.21524825424419</v>
      </c>
      <c r="I46" s="112">
        <v>7</v>
      </c>
      <c r="J46" s="125" t="s">
        <v>129</v>
      </c>
      <c r="K46" s="74">
        <v>9.2386695906432745</v>
      </c>
      <c r="L46" s="82">
        <v>29.232484517037367</v>
      </c>
      <c r="M46" s="74">
        <v>50.005766113816691</v>
      </c>
      <c r="N46" s="82">
        <v>93.940341053113272</v>
      </c>
    </row>
    <row r="47" spans="1:19" ht="15.75" thickBot="1" x14ac:dyDescent="0.3">
      <c r="A47" s="115">
        <v>8</v>
      </c>
      <c r="B47" s="138" t="s">
        <v>148</v>
      </c>
      <c r="C47" s="83">
        <v>9.0229044834307981</v>
      </c>
      <c r="D47" s="77">
        <v>31.561768764913822</v>
      </c>
      <c r="E47" s="83">
        <v>58.565488940296014</v>
      </c>
      <c r="F47" s="78">
        <v>84.444481928915039</v>
      </c>
      <c r="I47" s="115">
        <v>8</v>
      </c>
      <c r="J47" s="126" t="s">
        <v>130</v>
      </c>
      <c r="K47" s="77">
        <v>3.223399935022742</v>
      </c>
      <c r="L47" s="83">
        <v>26.796372752727056</v>
      </c>
      <c r="M47" s="77">
        <v>61.392755769905101</v>
      </c>
      <c r="N47" s="83">
        <v>96.887319476082567</v>
      </c>
    </row>
    <row r="48" spans="1:19" x14ac:dyDescent="0.25">
      <c r="A48" s="61"/>
      <c r="C48" s="72">
        <f>AVERAGE(C40:C47)</f>
        <v>8.7815581343404805</v>
      </c>
      <c r="D48" s="72">
        <f t="shared" ref="D48:F48" si="13">AVERAGE(D40:D47)</f>
        <v>38.304009407621152</v>
      </c>
      <c r="E48" s="72">
        <f t="shared" si="13"/>
        <v>65.823763857230617</v>
      </c>
      <c r="F48" s="72">
        <f t="shared" si="13"/>
        <v>154.61919800356287</v>
      </c>
      <c r="K48" s="95">
        <f>AVERAGE(K41:K47)</f>
        <v>5.3678809291747882</v>
      </c>
      <c r="L48" s="95">
        <f t="shared" ref="L48" si="14">AVERAGE(L41:L47)</f>
        <v>31.089792210919097</v>
      </c>
      <c r="M48" s="95">
        <f t="shared" ref="M48" si="15">AVERAGE(M41:M47)</f>
        <v>65.063556671780219</v>
      </c>
      <c r="N48" s="95">
        <f t="shared" ref="N48" si="16">AVERAGE(N41:N47)</f>
        <v>123.47712650776747</v>
      </c>
      <c r="P48" s="72">
        <f>(C48-K48)/C48*100</f>
        <v>38.873251795902036</v>
      </c>
      <c r="Q48" s="72">
        <f t="shared" ref="Q48" si="17">(D48-L48)/D48*100</f>
        <v>18.834104597067792</v>
      </c>
      <c r="R48" s="72">
        <f t="shared" ref="R48" si="18">(E48-M48)/E48*100</f>
        <v>1.1549129689685622</v>
      </c>
      <c r="S48" s="72">
        <f t="shared" ref="S48" si="19">(F48-N48)/F48*100</f>
        <v>20.14114152569709</v>
      </c>
    </row>
    <row r="49" spans="1:19" ht="15.75" thickBot="1" x14ac:dyDescent="0.3">
      <c r="A49" s="61"/>
    </row>
    <row r="50" spans="1:19" ht="15.75" thickBot="1" x14ac:dyDescent="0.3">
      <c r="A50" s="242" t="s">
        <v>112</v>
      </c>
      <c r="B50" s="244" t="s">
        <v>1</v>
      </c>
      <c r="C50" s="239" t="s">
        <v>155</v>
      </c>
      <c r="D50" s="240"/>
      <c r="E50" s="240"/>
      <c r="F50" s="241"/>
      <c r="I50" s="1" t="s">
        <v>112</v>
      </c>
      <c r="J50" s="121" t="s">
        <v>1</v>
      </c>
      <c r="K50" s="239" t="s">
        <v>132</v>
      </c>
      <c r="L50" s="240"/>
      <c r="M50" s="240"/>
      <c r="N50" s="241"/>
    </row>
    <row r="51" spans="1:19" ht="15.75" thickBot="1" x14ac:dyDescent="0.3">
      <c r="A51" s="243"/>
      <c r="B51" s="245"/>
      <c r="C51" s="58" t="s">
        <v>2</v>
      </c>
      <c r="D51" s="59" t="s">
        <v>91</v>
      </c>
      <c r="E51" s="59" t="s">
        <v>5</v>
      </c>
      <c r="F51" s="60" t="s">
        <v>6</v>
      </c>
      <c r="I51" s="101"/>
      <c r="J51" s="122"/>
      <c r="K51" s="129" t="s">
        <v>2</v>
      </c>
      <c r="L51" s="129" t="s">
        <v>91</v>
      </c>
      <c r="M51" s="64" t="s">
        <v>5</v>
      </c>
      <c r="N51" s="129" t="s">
        <v>6</v>
      </c>
    </row>
    <row r="52" spans="1:19" x14ac:dyDescent="0.25">
      <c r="A52" s="68">
        <v>1</v>
      </c>
      <c r="B52" s="88">
        <v>43469</v>
      </c>
      <c r="C52" s="74">
        <v>10.526721897335934</v>
      </c>
      <c r="D52" s="81">
        <v>55.896115949068452</v>
      </c>
      <c r="E52" s="74">
        <v>71.68049591881153</v>
      </c>
      <c r="F52" s="81">
        <v>200.32805400365348</v>
      </c>
      <c r="I52" s="109">
        <v>1</v>
      </c>
      <c r="J52" s="124">
        <v>43986</v>
      </c>
      <c r="K52" s="127">
        <v>2.804946393762183</v>
      </c>
      <c r="L52" s="81">
        <v>21.780385166938441</v>
      </c>
      <c r="M52" s="127">
        <v>64.688416657933701</v>
      </c>
      <c r="N52" s="81">
        <v>146.46647306754082</v>
      </c>
    </row>
    <row r="53" spans="1:19" x14ac:dyDescent="0.25">
      <c r="A53" s="68">
        <v>2</v>
      </c>
      <c r="B53" s="88">
        <v>43589</v>
      </c>
      <c r="C53" s="74">
        <v>10.824216211825862</v>
      </c>
      <c r="D53" s="82">
        <v>53.198992210010601</v>
      </c>
      <c r="E53" s="74">
        <v>51.738946547912917</v>
      </c>
      <c r="F53" s="82">
        <v>141.51588714677692</v>
      </c>
      <c r="I53" s="112">
        <v>2</v>
      </c>
      <c r="J53" s="125">
        <v>44108</v>
      </c>
      <c r="K53" s="74">
        <v>5.7733512020792714</v>
      </c>
      <c r="L53" s="82">
        <v>20.227698547927478</v>
      </c>
      <c r="M53" s="74">
        <v>40.905592203611683</v>
      </c>
      <c r="N53" s="82">
        <v>158.40336483691442</v>
      </c>
    </row>
    <row r="54" spans="1:19" x14ac:dyDescent="0.25">
      <c r="A54" s="68">
        <v>3</v>
      </c>
      <c r="B54" s="88">
        <v>43681</v>
      </c>
      <c r="C54" s="74">
        <v>11.474780701754385</v>
      </c>
      <c r="D54" s="82">
        <v>38.538692468677496</v>
      </c>
      <c r="E54" s="74">
        <v>53.561380444489146</v>
      </c>
      <c r="F54" s="82">
        <v>176.79101967110532</v>
      </c>
      <c r="I54" s="112">
        <v>3</v>
      </c>
      <c r="J54" s="125" t="s">
        <v>133</v>
      </c>
      <c r="K54" s="74">
        <v>4.7193713450292387</v>
      </c>
      <c r="L54" s="82">
        <v>12.460791985824081</v>
      </c>
      <c r="M54" s="74">
        <v>65.778228704121005</v>
      </c>
      <c r="N54" s="82">
        <v>202.70503587721018</v>
      </c>
    </row>
    <row r="55" spans="1:19" x14ac:dyDescent="0.25">
      <c r="A55" s="68">
        <v>4</v>
      </c>
      <c r="B55" s="88">
        <v>43803</v>
      </c>
      <c r="C55" s="74">
        <v>11.493088044184534</v>
      </c>
      <c r="D55" s="82">
        <v>29.868282917063407</v>
      </c>
      <c r="E55" s="74">
        <v>71.605586005203705</v>
      </c>
      <c r="F55" s="82">
        <v>281.97573923059622</v>
      </c>
      <c r="I55" s="112">
        <v>4</v>
      </c>
      <c r="J55" s="125" t="s">
        <v>134</v>
      </c>
      <c r="K55" s="74">
        <v>6.6932951591942818</v>
      </c>
      <c r="L55" s="82">
        <v>7.5072404721794976</v>
      </c>
      <c r="M55" s="74">
        <v>67.671545493496509</v>
      </c>
      <c r="N55" s="82">
        <v>168.97787508680503</v>
      </c>
    </row>
    <row r="56" spans="1:19" x14ac:dyDescent="0.25">
      <c r="A56" s="68">
        <v>5</v>
      </c>
      <c r="B56" s="88" t="s">
        <v>150</v>
      </c>
      <c r="C56" s="74">
        <v>10.961521280051983</v>
      </c>
      <c r="D56" s="82">
        <v>39.58595951535618</v>
      </c>
      <c r="E56" s="74">
        <v>100.24944310764329</v>
      </c>
      <c r="F56" s="82">
        <v>209.40215462491452</v>
      </c>
      <c r="I56" s="112">
        <v>5</v>
      </c>
      <c r="J56" s="125" t="s">
        <v>135</v>
      </c>
      <c r="K56" s="74">
        <v>6.1133447043534765</v>
      </c>
      <c r="L56" s="82">
        <v>17.717968021508891</v>
      </c>
      <c r="M56" s="74">
        <v>44.626650820383674</v>
      </c>
      <c r="N56" s="82">
        <v>102.9630220215558</v>
      </c>
    </row>
    <row r="57" spans="1:19" x14ac:dyDescent="0.25">
      <c r="A57" s="68">
        <v>6</v>
      </c>
      <c r="B57" s="88" t="s">
        <v>151</v>
      </c>
      <c r="C57" s="74">
        <v>10.343648473034438</v>
      </c>
      <c r="D57" s="82">
        <v>45.762988598354447</v>
      </c>
      <c r="E57" s="74">
        <v>95.416979071636305</v>
      </c>
      <c r="F57" s="82">
        <v>272.16568968719184</v>
      </c>
      <c r="I57" s="112">
        <v>6</v>
      </c>
      <c r="J57" s="125" t="s">
        <v>136</v>
      </c>
      <c r="K57" s="74">
        <v>3.3803200129954516</v>
      </c>
      <c r="L57" s="82">
        <v>19.983545269702738</v>
      </c>
      <c r="M57" s="74">
        <v>40.917426673027613</v>
      </c>
      <c r="N57" s="82">
        <v>103.6904542790865</v>
      </c>
    </row>
    <row r="58" spans="1:19" ht="15.75" thickBot="1" x14ac:dyDescent="0.3">
      <c r="A58" s="68">
        <v>7</v>
      </c>
      <c r="B58" s="88" t="s">
        <v>152</v>
      </c>
      <c r="C58" s="74">
        <v>9.6146239441195576</v>
      </c>
      <c r="D58" s="82">
        <v>55.664839261597933</v>
      </c>
      <c r="E58" s="74">
        <v>77.022865086213713</v>
      </c>
      <c r="F58" s="82">
        <v>199.3052964765574</v>
      </c>
      <c r="I58" s="115">
        <v>7</v>
      </c>
      <c r="J58" s="126" t="s">
        <v>137</v>
      </c>
      <c r="K58" s="77">
        <v>4.6095272904483426</v>
      </c>
      <c r="L58" s="83">
        <v>22.365607477396097</v>
      </c>
      <c r="M58" s="77">
        <v>44.248841632332208</v>
      </c>
      <c r="N58" s="83">
        <v>101.50499869360745</v>
      </c>
    </row>
    <row r="59" spans="1:19" x14ac:dyDescent="0.25">
      <c r="A59" s="68">
        <v>8</v>
      </c>
      <c r="B59" s="88" t="s">
        <v>153</v>
      </c>
      <c r="C59" s="74">
        <v>10.195228232618584</v>
      </c>
      <c r="D59" s="82">
        <v>42.306634565673939</v>
      </c>
      <c r="E59" s="74">
        <v>76.944883067957804</v>
      </c>
      <c r="F59" s="82">
        <v>235.65970845539178</v>
      </c>
    </row>
    <row r="60" spans="1:19" ht="15.75" thickBot="1" x14ac:dyDescent="0.3">
      <c r="A60" s="69">
        <v>9</v>
      </c>
      <c r="B60" s="91" t="s">
        <v>154</v>
      </c>
      <c r="C60" s="77">
        <v>10.990943794671866</v>
      </c>
      <c r="D60" s="83">
        <v>41.028090831524729</v>
      </c>
      <c r="E60" s="77">
        <v>75.776369057059512</v>
      </c>
      <c r="F60" s="83">
        <v>146.0209086622439</v>
      </c>
    </row>
    <row r="61" spans="1:19" x14ac:dyDescent="0.25">
      <c r="A61" s="61"/>
      <c r="C61" s="72">
        <f>AVERAGE(C52:C60)</f>
        <v>10.713863619955239</v>
      </c>
      <c r="D61" s="72">
        <f t="shared" ref="D61:F61" si="20">AVERAGE(D52:D60)</f>
        <v>44.650066257480802</v>
      </c>
      <c r="E61" s="72">
        <f t="shared" si="20"/>
        <v>74.888549811880864</v>
      </c>
      <c r="F61" s="72">
        <f t="shared" si="20"/>
        <v>207.01827310649242</v>
      </c>
      <c r="K61" s="72">
        <f>AVERAGE(K52:K58)</f>
        <v>4.8705937296946065</v>
      </c>
      <c r="L61" s="72">
        <f>AVERAGE(L52:L58)</f>
        <v>17.434748134496747</v>
      </c>
      <c r="M61" s="72">
        <f>AVERAGE(M52:M58)</f>
        <v>52.690957454986616</v>
      </c>
      <c r="N61" s="72">
        <f>AVERAGE(N52:N58)</f>
        <v>140.67303198038863</v>
      </c>
      <c r="P61" s="72">
        <f>(C61-K61)/C61*100</f>
        <v>54.539334245184698</v>
      </c>
      <c r="Q61" s="72">
        <f t="shared" ref="Q61" si="21">(D61-L61)/D61*100</f>
        <v>60.952469736647529</v>
      </c>
      <c r="R61" s="72">
        <f t="shared" ref="R61" si="22">(E61-M61)/E61*100</f>
        <v>29.640836166081908</v>
      </c>
      <c r="S61" s="72">
        <f t="shared" ref="S61" si="23">(F61-N61)/F61*100</f>
        <v>32.048012057358378</v>
      </c>
    </row>
    <row r="62" spans="1:19" ht="15.75" thickBot="1" x14ac:dyDescent="0.3">
      <c r="A62" s="61"/>
    </row>
    <row r="63" spans="1:19" ht="15.75" thickBot="1" x14ac:dyDescent="0.3">
      <c r="A63" s="242" t="s">
        <v>112</v>
      </c>
      <c r="B63" s="244" t="s">
        <v>1</v>
      </c>
      <c r="C63" s="239" t="s">
        <v>162</v>
      </c>
      <c r="D63" s="240"/>
      <c r="E63" s="240"/>
      <c r="F63" s="241"/>
      <c r="I63" s="1" t="s">
        <v>112</v>
      </c>
      <c r="J63" s="121" t="s">
        <v>1</v>
      </c>
      <c r="K63" s="239" t="s">
        <v>161</v>
      </c>
      <c r="L63" s="240"/>
      <c r="M63" s="240"/>
      <c r="N63" s="241"/>
    </row>
    <row r="64" spans="1:19" ht="15.75" thickBot="1" x14ac:dyDescent="0.3">
      <c r="A64" s="243"/>
      <c r="B64" s="245"/>
      <c r="C64" s="132" t="s">
        <v>2</v>
      </c>
      <c r="D64" s="132" t="s">
        <v>91</v>
      </c>
      <c r="E64" s="132" t="s">
        <v>5</v>
      </c>
      <c r="F64" s="133" t="s">
        <v>6</v>
      </c>
      <c r="I64" s="102"/>
      <c r="J64" s="122"/>
      <c r="K64" s="129" t="s">
        <v>2</v>
      </c>
      <c r="L64" s="129" t="s">
        <v>91</v>
      </c>
      <c r="M64" s="64" t="s">
        <v>5</v>
      </c>
      <c r="N64" s="129" t="s">
        <v>6</v>
      </c>
    </row>
    <row r="65" spans="1:19" x14ac:dyDescent="0.25">
      <c r="A65" s="67">
        <v>1</v>
      </c>
      <c r="B65" s="110">
        <v>43528</v>
      </c>
      <c r="C65" s="127">
        <v>10.51364522417154</v>
      </c>
      <c r="D65" s="81">
        <v>62.213689941546171</v>
      </c>
      <c r="E65" s="127">
        <v>58.092081529581414</v>
      </c>
      <c r="F65" s="81">
        <v>228.99981962481957</v>
      </c>
      <c r="I65" s="67">
        <v>1</v>
      </c>
      <c r="J65" s="110">
        <v>44047</v>
      </c>
      <c r="K65" s="127">
        <v>8.2416666666666671</v>
      </c>
      <c r="L65" s="81">
        <v>27.927392518748963</v>
      </c>
      <c r="M65" s="127">
        <v>81.446453225164547</v>
      </c>
      <c r="N65" s="81">
        <v>214.32712297558223</v>
      </c>
    </row>
    <row r="66" spans="1:19" x14ac:dyDescent="0.25">
      <c r="A66" s="68">
        <v>2</v>
      </c>
      <c r="B66" s="113">
        <v>43620</v>
      </c>
      <c r="C66" s="74">
        <v>11.845504385964913</v>
      </c>
      <c r="D66" s="82">
        <v>46.408953080166185</v>
      </c>
      <c r="E66" s="74">
        <v>37.293882202133169</v>
      </c>
      <c r="F66" s="82">
        <v>157.76450828982601</v>
      </c>
      <c r="I66" s="68">
        <v>2</v>
      </c>
      <c r="J66" s="113">
        <v>44139</v>
      </c>
      <c r="K66" s="74">
        <v>7.9133487654321</v>
      </c>
      <c r="L66" s="82">
        <v>57.204140651134672</v>
      </c>
      <c r="M66" s="74">
        <v>86.48865735419713</v>
      </c>
      <c r="N66" s="82">
        <v>190.58555534727279</v>
      </c>
    </row>
    <row r="67" spans="1:19" x14ac:dyDescent="0.25">
      <c r="A67" s="68">
        <v>3</v>
      </c>
      <c r="B67" s="113">
        <v>43742</v>
      </c>
      <c r="C67" s="74">
        <v>11.324398960363872</v>
      </c>
      <c r="D67" s="82">
        <v>50.126734698969408</v>
      </c>
      <c r="E67" s="74">
        <v>47.073767126899476</v>
      </c>
      <c r="F67" s="82">
        <v>193.1862623249651</v>
      </c>
      <c r="I67" s="68">
        <v>3</v>
      </c>
      <c r="J67" s="113" t="s">
        <v>138</v>
      </c>
      <c r="K67" s="74">
        <v>4.2368421052631575</v>
      </c>
      <c r="L67" s="82">
        <v>36.488245305639403</v>
      </c>
      <c r="M67" s="74">
        <v>58.121154871899847</v>
      </c>
      <c r="N67" s="82">
        <v>213.06534320872797</v>
      </c>
    </row>
    <row r="68" spans="1:19" x14ac:dyDescent="0.25">
      <c r="A68" s="68">
        <v>4</v>
      </c>
      <c r="B68" s="113" t="s">
        <v>156</v>
      </c>
      <c r="C68" s="74">
        <v>10.722871994801821</v>
      </c>
      <c r="D68" s="82">
        <v>43.069592645705178</v>
      </c>
      <c r="E68" s="74">
        <v>64.208924538429486</v>
      </c>
      <c r="F68" s="82">
        <v>287.27071796405284</v>
      </c>
      <c r="I68" s="68">
        <v>4</v>
      </c>
      <c r="J68" s="113" t="s">
        <v>139</v>
      </c>
      <c r="K68" s="74">
        <v>4.7187175113710191</v>
      </c>
      <c r="L68" s="82">
        <v>22.43278794412727</v>
      </c>
      <c r="M68" s="74">
        <v>58.246549322253308</v>
      </c>
      <c r="N68" s="82">
        <v>188.72275264213849</v>
      </c>
    </row>
    <row r="69" spans="1:19" x14ac:dyDescent="0.25">
      <c r="A69" s="68">
        <v>5</v>
      </c>
      <c r="B69" s="113" t="s">
        <v>157</v>
      </c>
      <c r="C69" s="74">
        <v>12.690911306042885</v>
      </c>
      <c r="D69" s="82">
        <v>53.594110798860477</v>
      </c>
      <c r="E69" s="74">
        <v>58.071342786300725</v>
      </c>
      <c r="F69" s="82">
        <v>149.85786649620312</v>
      </c>
      <c r="I69" s="68">
        <v>5</v>
      </c>
      <c r="J69" s="113" t="s">
        <v>140</v>
      </c>
      <c r="K69" s="74">
        <v>4.8449074074074074</v>
      </c>
      <c r="L69" s="82">
        <v>23.687780367016572</v>
      </c>
      <c r="M69" s="74">
        <v>52.370786743730626</v>
      </c>
      <c r="N69" s="82">
        <v>107.66896674346906</v>
      </c>
    </row>
    <row r="70" spans="1:19" x14ac:dyDescent="0.25">
      <c r="A70" s="68">
        <v>6</v>
      </c>
      <c r="B70" s="113" t="s">
        <v>158</v>
      </c>
      <c r="C70" s="74">
        <v>10.722871994801819</v>
      </c>
      <c r="D70" s="82">
        <v>57.096999920331122</v>
      </c>
      <c r="E70" s="74">
        <v>65.221198885062549</v>
      </c>
      <c r="F70" s="82">
        <v>181.90108250103012</v>
      </c>
      <c r="I70" s="68">
        <v>6</v>
      </c>
      <c r="J70" s="113" t="s">
        <v>141</v>
      </c>
      <c r="K70" s="74">
        <v>3.5045484080571794</v>
      </c>
      <c r="L70" s="82">
        <v>24.624746430212841</v>
      </c>
      <c r="M70" s="74">
        <v>39.922521389560295</v>
      </c>
      <c r="N70" s="82">
        <v>110.53480727196963</v>
      </c>
    </row>
    <row r="71" spans="1:19" ht="15.75" thickBot="1" x14ac:dyDescent="0.3">
      <c r="A71" s="68">
        <v>7</v>
      </c>
      <c r="B71" s="113" t="s">
        <v>159</v>
      </c>
      <c r="C71" s="74">
        <v>10.356071312540612</v>
      </c>
      <c r="D71" s="82">
        <v>41.901604214398397</v>
      </c>
      <c r="E71" s="74">
        <v>89.943235018727066</v>
      </c>
      <c r="F71" s="82">
        <v>241.38785781166442</v>
      </c>
      <c r="I71" s="69">
        <v>7</v>
      </c>
      <c r="J71" s="116" t="s">
        <v>142</v>
      </c>
      <c r="K71" s="77">
        <v>2.6480263157894735</v>
      </c>
      <c r="L71" s="83">
        <v>24.280203930931364</v>
      </c>
      <c r="M71" s="77">
        <v>37.910737765620063</v>
      </c>
      <c r="N71" s="83">
        <v>139.89222523669426</v>
      </c>
    </row>
    <row r="72" spans="1:19" ht="15.75" thickBot="1" x14ac:dyDescent="0.3">
      <c r="A72" s="69">
        <v>8</v>
      </c>
      <c r="B72" s="116" t="s">
        <v>160</v>
      </c>
      <c r="C72" s="77">
        <v>9.6983146523716695</v>
      </c>
      <c r="D72" s="83">
        <v>38.26056747804715</v>
      </c>
      <c r="E72" s="77">
        <v>64.303397357088471</v>
      </c>
      <c r="F72" s="83">
        <v>292.03322449966731</v>
      </c>
    </row>
    <row r="74" spans="1:19" x14ac:dyDescent="0.25">
      <c r="C74" s="72">
        <f>AVERAGE(C65:C72)</f>
        <v>10.984323728882391</v>
      </c>
      <c r="D74" s="72">
        <f t="shared" ref="D74:F74" si="24">AVERAGE(D65:D72)</f>
        <v>49.084031597253009</v>
      </c>
      <c r="E74" s="72">
        <f t="shared" si="24"/>
        <v>60.5259786805278</v>
      </c>
      <c r="F74" s="72">
        <f t="shared" si="24"/>
        <v>216.55016743902854</v>
      </c>
      <c r="K74" s="72">
        <f>AVERAGE(K65:K71)</f>
        <v>5.1582938828552871</v>
      </c>
      <c r="L74" s="72">
        <f>AVERAGE(L65:L71)</f>
        <v>30.949328163973007</v>
      </c>
      <c r="M74" s="72">
        <f>AVERAGE(M65:M71)</f>
        <v>59.215265810346537</v>
      </c>
      <c r="N74" s="72">
        <f>AVERAGE(N65:N71)</f>
        <v>166.39953906083633</v>
      </c>
      <c r="P74" s="72">
        <f>(C74-K74)/C74*100</f>
        <v>53.039495100713665</v>
      </c>
      <c r="Q74" s="72">
        <f t="shared" ref="Q74:S74" si="25">(D74-L74)/D74*100</f>
        <v>36.946238609900398</v>
      </c>
      <c r="R74" s="72">
        <f t="shared" si="25"/>
        <v>2.1655376728388869</v>
      </c>
      <c r="S74" s="72">
        <f t="shared" si="25"/>
        <v>23.158896144613937</v>
      </c>
    </row>
    <row r="75" spans="1:19" x14ac:dyDescent="0.25">
      <c r="K75" s="61"/>
      <c r="L75" s="61"/>
      <c r="M75" s="61"/>
      <c r="N75" s="61"/>
    </row>
  </sheetData>
  <mergeCells count="25">
    <mergeCell ref="A63:A64"/>
    <mergeCell ref="B63:B64"/>
    <mergeCell ref="C63:F63"/>
    <mergeCell ref="K38:N38"/>
    <mergeCell ref="K50:N50"/>
    <mergeCell ref="K63:N63"/>
    <mergeCell ref="A50:A51"/>
    <mergeCell ref="B50:B51"/>
    <mergeCell ref="C50:F50"/>
    <mergeCell ref="A38:A39"/>
    <mergeCell ref="B38:B39"/>
    <mergeCell ref="C38:F38"/>
    <mergeCell ref="P1:S2"/>
    <mergeCell ref="K1:N1"/>
    <mergeCell ref="K13:N13"/>
    <mergeCell ref="K24:N24"/>
    <mergeCell ref="A24:A25"/>
    <mergeCell ref="B24:B25"/>
    <mergeCell ref="C24:F24"/>
    <mergeCell ref="A2:A3"/>
    <mergeCell ref="B2:B3"/>
    <mergeCell ref="C2:F2"/>
    <mergeCell ref="A13:A14"/>
    <mergeCell ref="B13:B14"/>
    <mergeCell ref="C13:F13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40"/>
  <sheetViews>
    <sheetView topLeftCell="A34" workbookViewId="0">
      <selection activeCell="M56" sqref="M56"/>
    </sheetView>
  </sheetViews>
  <sheetFormatPr defaultRowHeight="15" x14ac:dyDescent="0.25"/>
  <sheetData>
    <row r="2" spans="1:19" ht="15.75" thickBot="1" x14ac:dyDescent="0.3"/>
    <row r="3" spans="1:19" ht="15.75" thickBot="1" x14ac:dyDescent="0.3">
      <c r="A3" s="142" t="s">
        <v>112</v>
      </c>
      <c r="B3" s="144" t="s">
        <v>1</v>
      </c>
      <c r="C3" s="146" t="s">
        <v>169</v>
      </c>
      <c r="D3" s="147"/>
      <c r="E3" s="147"/>
      <c r="F3" s="148"/>
    </row>
    <row r="4" spans="1:19" ht="15.75" thickBot="1" x14ac:dyDescent="0.3">
      <c r="A4" s="143"/>
      <c r="B4" s="145"/>
      <c r="C4" s="118" t="s">
        <v>2</v>
      </c>
      <c r="D4" s="118" t="s">
        <v>91</v>
      </c>
      <c r="E4" s="118" t="s">
        <v>5</v>
      </c>
      <c r="F4" s="119" t="s">
        <v>6</v>
      </c>
      <c r="I4" s="242" t="s">
        <v>112</v>
      </c>
      <c r="J4" s="244" t="s">
        <v>1</v>
      </c>
      <c r="K4" s="239" t="s">
        <v>149</v>
      </c>
      <c r="L4" s="240"/>
      <c r="M4" s="240"/>
      <c r="N4" s="241"/>
    </row>
    <row r="5" spans="1:19" ht="15.75" thickBot="1" x14ac:dyDescent="0.3">
      <c r="B5" s="85">
        <v>43527</v>
      </c>
      <c r="C5" s="86">
        <v>8.2541922514619888</v>
      </c>
      <c r="D5" s="86">
        <v>57.281487199651508</v>
      </c>
      <c r="E5" s="149">
        <v>90.0384465578028</v>
      </c>
      <c r="F5" s="86">
        <v>282.02329089789299</v>
      </c>
      <c r="I5" s="246"/>
      <c r="J5" s="247"/>
      <c r="K5" s="134" t="s">
        <v>2</v>
      </c>
      <c r="L5" s="135" t="s">
        <v>91</v>
      </c>
      <c r="M5" s="135" t="s">
        <v>5</v>
      </c>
      <c r="N5" s="136" t="s">
        <v>6</v>
      </c>
    </row>
    <row r="6" spans="1:19" x14ac:dyDescent="0.25">
      <c r="B6" s="88">
        <v>43649</v>
      </c>
      <c r="C6" s="89">
        <v>9.0098278102664064</v>
      </c>
      <c r="D6" s="89">
        <v>47.292378225465519</v>
      </c>
      <c r="E6" s="98">
        <v>92.423186694754463</v>
      </c>
      <c r="F6" s="89">
        <v>184.34784756433979</v>
      </c>
      <c r="I6" s="109">
        <v>1</v>
      </c>
      <c r="J6" s="137">
        <v>43559</v>
      </c>
      <c r="K6" s="81">
        <v>8.0441154970760227</v>
      </c>
      <c r="L6" s="127">
        <v>36.989479316715084</v>
      </c>
      <c r="M6" s="81">
        <v>70.410973166394271</v>
      </c>
      <c r="N6" s="130">
        <v>186.3220414419101</v>
      </c>
      <c r="P6" s="72">
        <f t="shared" ref="P6:S13" si="0">(C5-K6)/C5*100</f>
        <v>2.5450916090397229</v>
      </c>
      <c r="Q6" s="72">
        <f t="shared" si="0"/>
        <v>35.425071650478863</v>
      </c>
      <c r="R6" s="72">
        <f t="shared" si="0"/>
        <v>21.79899158834121</v>
      </c>
      <c r="S6" s="72">
        <f t="shared" si="0"/>
        <v>33.933810626524348</v>
      </c>
    </row>
    <row r="7" spans="1:19" x14ac:dyDescent="0.25">
      <c r="B7" s="88">
        <v>43741</v>
      </c>
      <c r="C7" s="89">
        <v>8.8267543859649109</v>
      </c>
      <c r="D7" s="90">
        <v>52.883930678646131</v>
      </c>
      <c r="E7" s="98">
        <v>110.20130247993718</v>
      </c>
      <c r="F7" s="90">
        <v>201.61842391871826</v>
      </c>
      <c r="I7" s="112">
        <v>2</v>
      </c>
      <c r="J7" s="104">
        <v>43650</v>
      </c>
      <c r="K7" s="82">
        <v>7.7152371669915523</v>
      </c>
      <c r="L7" s="74">
        <v>50.591837290863822</v>
      </c>
      <c r="M7" s="82">
        <v>61.80712814682034</v>
      </c>
      <c r="N7" s="75">
        <v>130.90549282000879</v>
      </c>
      <c r="P7" s="72">
        <f t="shared" si="0"/>
        <v>14.368650217706827</v>
      </c>
      <c r="Q7" s="72">
        <f t="shared" si="0"/>
        <v>-6.9767247687739316</v>
      </c>
      <c r="R7" s="72">
        <f t="shared" si="0"/>
        <v>33.125949929696333</v>
      </c>
      <c r="S7" s="72">
        <f t="shared" si="0"/>
        <v>28.989953205544712</v>
      </c>
    </row>
    <row r="8" spans="1:19" x14ac:dyDescent="0.25">
      <c r="B8" s="88" t="s">
        <v>163</v>
      </c>
      <c r="C8" s="89">
        <v>9.9055799220272895</v>
      </c>
      <c r="D8" s="90">
        <v>38.508736994375631</v>
      </c>
      <c r="E8" s="98">
        <v>85.260124217836506</v>
      </c>
      <c r="F8" s="90">
        <v>175.34250227059457</v>
      </c>
      <c r="I8" s="112">
        <v>3</v>
      </c>
      <c r="J8" s="104">
        <v>43773</v>
      </c>
      <c r="K8" s="82">
        <v>9.0621345029239766</v>
      </c>
      <c r="L8" s="74">
        <v>39.277844918088824</v>
      </c>
      <c r="M8" s="82">
        <v>62.608669383147948</v>
      </c>
      <c r="N8" s="75">
        <v>119.52852440512827</v>
      </c>
      <c r="P8" s="72">
        <f t="shared" si="0"/>
        <v>-2.6666666666666825</v>
      </c>
      <c r="Q8" s="72">
        <f t="shared" si="0"/>
        <v>25.728204363695824</v>
      </c>
      <c r="R8" s="72">
        <f t="shared" si="0"/>
        <v>43.186996909999102</v>
      </c>
      <c r="S8" s="72">
        <f t="shared" si="0"/>
        <v>40.715475261667677</v>
      </c>
    </row>
    <row r="9" spans="1:19" x14ac:dyDescent="0.25">
      <c r="B9" s="88" t="s">
        <v>164</v>
      </c>
      <c r="C9" s="89">
        <v>9.0621345029239766</v>
      </c>
      <c r="D9" s="90">
        <v>42.57433915515859</v>
      </c>
      <c r="E9" s="98">
        <v>124.3234686233108</v>
      </c>
      <c r="F9" s="90">
        <v>273.81078935805294</v>
      </c>
      <c r="I9" s="112">
        <v>4</v>
      </c>
      <c r="J9" s="104" t="s">
        <v>144</v>
      </c>
      <c r="K9" s="82">
        <v>9.2452079272254704</v>
      </c>
      <c r="L9" s="74">
        <v>26.118699331552353</v>
      </c>
      <c r="M9" s="82">
        <v>80.550992412952098</v>
      </c>
      <c r="N9" s="75">
        <v>216.23784102826571</v>
      </c>
      <c r="P9" s="72">
        <f t="shared" si="0"/>
        <v>6.6666666666666652</v>
      </c>
      <c r="Q9" s="72">
        <f t="shared" si="0"/>
        <v>32.174614463810897</v>
      </c>
      <c r="R9" s="72">
        <f t="shared" si="0"/>
        <v>5.5232523387518739</v>
      </c>
      <c r="S9" s="72">
        <f t="shared" si="0"/>
        <v>-23.323118027915474</v>
      </c>
    </row>
    <row r="10" spans="1:19" x14ac:dyDescent="0.25">
      <c r="B10" s="88" t="s">
        <v>165</v>
      </c>
      <c r="C10" s="89">
        <v>10.101730019493177</v>
      </c>
      <c r="D10" s="90">
        <v>37.320636586522333</v>
      </c>
      <c r="E10" s="98">
        <v>85.276037608739387</v>
      </c>
      <c r="F10" s="90">
        <v>192.81626034556152</v>
      </c>
      <c r="I10" s="112">
        <v>5</v>
      </c>
      <c r="J10" s="104" t="s">
        <v>145</v>
      </c>
      <c r="K10" s="82">
        <v>9.2975146198830405</v>
      </c>
      <c r="L10" s="74">
        <v>35.272696476964768</v>
      </c>
      <c r="M10" s="82">
        <v>50.088429123133743</v>
      </c>
      <c r="N10" s="75">
        <v>147.91545390077133</v>
      </c>
      <c r="P10" s="72">
        <f t="shared" si="0"/>
        <v>-2.5974025974025929</v>
      </c>
      <c r="Q10" s="72">
        <f t="shared" si="0"/>
        <v>17.150337088224905</v>
      </c>
      <c r="R10" s="72">
        <f t="shared" si="0"/>
        <v>59.711203622465462</v>
      </c>
      <c r="S10" s="72">
        <f t="shared" si="0"/>
        <v>45.978953478218351</v>
      </c>
    </row>
    <row r="11" spans="1:19" x14ac:dyDescent="0.25">
      <c r="B11" s="88" t="s">
        <v>166</v>
      </c>
      <c r="C11" s="89">
        <v>9.6067779402209226</v>
      </c>
      <c r="D11" s="90">
        <v>44.747465292635376</v>
      </c>
      <c r="E11" s="98">
        <v>85.88457986336384</v>
      </c>
      <c r="F11" s="90">
        <v>234.29927004781339</v>
      </c>
      <c r="I11" s="112">
        <v>6</v>
      </c>
      <c r="J11" s="104" t="s">
        <v>146</v>
      </c>
      <c r="K11" s="82">
        <v>8.388685834957764</v>
      </c>
      <c r="L11" s="74">
        <v>53.991939896678893</v>
      </c>
      <c r="M11" s="82">
        <v>66.512749515709046</v>
      </c>
      <c r="N11" s="75">
        <v>176.3845002492595</v>
      </c>
      <c r="P11" s="72">
        <f t="shared" si="0"/>
        <v>16.957928802588999</v>
      </c>
      <c r="Q11" s="72">
        <f t="shared" si="0"/>
        <v>-44.670468767344381</v>
      </c>
      <c r="R11" s="72">
        <f t="shared" si="0"/>
        <v>22.003001803530577</v>
      </c>
      <c r="S11" s="72">
        <f t="shared" si="0"/>
        <v>8.5219784196899866</v>
      </c>
    </row>
    <row r="12" spans="1:19" x14ac:dyDescent="0.25">
      <c r="B12" s="88" t="s">
        <v>167</v>
      </c>
      <c r="C12" s="89">
        <v>11.298245614035087</v>
      </c>
      <c r="D12" s="90">
        <v>38.214227813607359</v>
      </c>
      <c r="E12" s="98">
        <v>74.340749903611325</v>
      </c>
      <c r="F12" s="90">
        <v>159.53061767267846</v>
      </c>
      <c r="I12" s="112">
        <v>7</v>
      </c>
      <c r="J12" s="104" t="s">
        <v>147</v>
      </c>
      <c r="K12" s="82">
        <v>9.4766650422352168</v>
      </c>
      <c r="L12" s="74">
        <v>32.627809265191594</v>
      </c>
      <c r="M12" s="82">
        <v>76.045680169391474</v>
      </c>
      <c r="N12" s="75">
        <v>175.21524825424419</v>
      </c>
      <c r="P12" s="72">
        <f t="shared" si="0"/>
        <v>1.3543864425236589</v>
      </c>
      <c r="Q12" s="72">
        <f t="shared" si="0"/>
        <v>27.084564339420712</v>
      </c>
      <c r="R12" s="72">
        <f t="shared" si="0"/>
        <v>11.455956016348154</v>
      </c>
      <c r="S12" s="72">
        <f t="shared" si="0"/>
        <v>25.217330716187014</v>
      </c>
    </row>
    <row r="13" spans="1:19" ht="15.75" thickBot="1" x14ac:dyDescent="0.3">
      <c r="B13" s="91" t="s">
        <v>168</v>
      </c>
      <c r="C13" s="92">
        <v>9.7682748538011701</v>
      </c>
      <c r="D13" s="93">
        <v>49.577778998510702</v>
      </c>
      <c r="E13" s="100">
        <v>80.921105669427774</v>
      </c>
      <c r="F13" s="93">
        <v>188.29777764341512</v>
      </c>
      <c r="I13" s="115">
        <v>8</v>
      </c>
      <c r="J13" s="138" t="s">
        <v>148</v>
      </c>
      <c r="K13" s="83">
        <v>9.0229044834307981</v>
      </c>
      <c r="L13" s="77">
        <v>31.561768764913822</v>
      </c>
      <c r="M13" s="83">
        <v>58.565488940296014</v>
      </c>
      <c r="N13" s="78">
        <v>84.444481928915039</v>
      </c>
      <c r="P13" s="72">
        <f t="shared" si="0"/>
        <v>20.138888888888896</v>
      </c>
      <c r="Q13" s="72">
        <f t="shared" si="0"/>
        <v>17.408330429026027</v>
      </c>
      <c r="R13" s="72">
        <f t="shared" si="0"/>
        <v>21.220206930612331</v>
      </c>
      <c r="S13" s="72">
        <f t="shared" si="0"/>
        <v>47.066912194763496</v>
      </c>
    </row>
    <row r="14" spans="1:19" x14ac:dyDescent="0.25">
      <c r="C14" s="72">
        <f>AVERAGE(C5:C13)</f>
        <v>9.5370574777994364</v>
      </c>
      <c r="D14" s="72">
        <f t="shared" ref="D14:F14" si="1">AVERAGE(D5:D13)</f>
        <v>45.377886771619238</v>
      </c>
      <c r="E14" s="72">
        <f t="shared" si="1"/>
        <v>92.074333513198226</v>
      </c>
      <c r="F14" s="72">
        <f t="shared" si="1"/>
        <v>210.23186441322969</v>
      </c>
      <c r="I14" s="61"/>
      <c r="K14" s="72">
        <f>AVERAGE(K6:K13)</f>
        <v>8.7815581343404805</v>
      </c>
      <c r="L14" s="72">
        <f t="shared" ref="L14:N14" si="2">AVERAGE(L6:L13)</f>
        <v>38.304009407621152</v>
      </c>
      <c r="M14" s="72">
        <f t="shared" si="2"/>
        <v>65.823763857230617</v>
      </c>
      <c r="N14" s="72">
        <f t="shared" si="2"/>
        <v>154.61919800356287</v>
      </c>
      <c r="P14" s="72">
        <f>(C14-K14)/C14*100</f>
        <v>7.9217237100397391</v>
      </c>
      <c r="Q14" s="72">
        <f t="shared" ref="Q14:S14" si="3">(D14-L14)/D14*100</f>
        <v>15.588820606829829</v>
      </c>
      <c r="R14" s="72">
        <f t="shared" si="3"/>
        <v>28.510192422087716</v>
      </c>
      <c r="S14" s="72">
        <f t="shared" si="3"/>
        <v>26.453014896141102</v>
      </c>
    </row>
    <row r="15" spans="1:19" ht="15.75" thickBot="1" x14ac:dyDescent="0.3">
      <c r="I15" s="61"/>
    </row>
    <row r="16" spans="1:19" ht="15.75" thickBot="1" x14ac:dyDescent="0.3">
      <c r="A16" s="142" t="s">
        <v>112</v>
      </c>
      <c r="B16" s="144" t="s">
        <v>1</v>
      </c>
      <c r="C16" s="239" t="s">
        <v>175</v>
      </c>
      <c r="D16" s="240"/>
      <c r="E16" s="240"/>
      <c r="F16" s="241"/>
      <c r="I16" s="242" t="s">
        <v>112</v>
      </c>
      <c r="J16" s="244" t="s">
        <v>1</v>
      </c>
      <c r="K16" s="151" t="s">
        <v>155</v>
      </c>
      <c r="L16" s="152"/>
      <c r="M16" s="152"/>
      <c r="N16" s="153"/>
    </row>
    <row r="17" spans="1:19" ht="15.75" thickBot="1" x14ac:dyDescent="0.3">
      <c r="A17" s="143"/>
      <c r="B17" s="145"/>
      <c r="C17" s="118" t="s">
        <v>2</v>
      </c>
      <c r="D17" s="118" t="s">
        <v>91</v>
      </c>
      <c r="E17" s="118" t="s">
        <v>5</v>
      </c>
      <c r="F17" s="119" t="s">
        <v>6</v>
      </c>
      <c r="I17" s="243"/>
      <c r="J17" s="245"/>
      <c r="K17" s="58" t="s">
        <v>2</v>
      </c>
      <c r="L17" s="59" t="s">
        <v>91</v>
      </c>
      <c r="M17" s="59" t="s">
        <v>5</v>
      </c>
      <c r="N17" s="60" t="s">
        <v>6</v>
      </c>
    </row>
    <row r="18" spans="1:19" x14ac:dyDescent="0.25">
      <c r="B18" s="85">
        <v>43468</v>
      </c>
      <c r="C18" s="86">
        <v>10.79479369720598</v>
      </c>
      <c r="D18" s="86">
        <v>76.750303469922642</v>
      </c>
      <c r="E18" s="106">
        <v>157.28601866667501</v>
      </c>
      <c r="F18" s="105">
        <v>425.15456495331864</v>
      </c>
      <c r="I18" s="68">
        <v>1</v>
      </c>
      <c r="J18" s="88">
        <v>43469</v>
      </c>
      <c r="K18" s="74">
        <v>10.526721897335934</v>
      </c>
      <c r="L18" s="81">
        <v>55.896115949068452</v>
      </c>
      <c r="M18" s="74">
        <v>71.68049591881153</v>
      </c>
      <c r="N18" s="81">
        <v>200.32805400365348</v>
      </c>
      <c r="P18" s="72">
        <f>(C18-K18)/C18*100</f>
        <v>2.4833434282253277</v>
      </c>
      <c r="Q18" s="72">
        <f t="shared" ref="Q18:S18" si="4">(D18-L18)/D18*100</f>
        <v>27.171472395580366</v>
      </c>
      <c r="R18" s="72">
        <f t="shared" si="4"/>
        <v>54.426657546263613</v>
      </c>
      <c r="S18" s="72">
        <f t="shared" si="4"/>
        <v>52.881123591922574</v>
      </c>
    </row>
    <row r="19" spans="1:19" x14ac:dyDescent="0.25">
      <c r="B19" s="88">
        <v>43558</v>
      </c>
      <c r="C19" s="89">
        <v>9.3184372969460671</v>
      </c>
      <c r="D19" s="90">
        <v>66.376750627392468</v>
      </c>
      <c r="E19" s="95">
        <v>95.151507971064348</v>
      </c>
      <c r="F19" s="89">
        <v>307.99823036655988</v>
      </c>
      <c r="I19" s="68">
        <v>2</v>
      </c>
      <c r="J19" s="88">
        <v>43589</v>
      </c>
      <c r="K19" s="74">
        <v>10.824216211825862</v>
      </c>
      <c r="L19" s="82">
        <v>53.198992210010601</v>
      </c>
      <c r="M19" s="74">
        <v>51.738946547912917</v>
      </c>
      <c r="N19" s="82">
        <v>141.51588714677692</v>
      </c>
      <c r="P19" s="72">
        <f t="shared" ref="P19:P26" si="5">(C19-K19)/C19*100</f>
        <v>-16.159135559921442</v>
      </c>
      <c r="Q19" s="72">
        <f t="shared" ref="Q19:Q26" si="6">(D19-L19)/D19*100</f>
        <v>19.852973055815191</v>
      </c>
      <c r="R19" s="72">
        <f t="shared" ref="R19:R26" si="7">(E19-M19)/E19*100</f>
        <v>45.624669906811384</v>
      </c>
      <c r="S19" s="72">
        <f t="shared" ref="S19:S26" si="8">(F19-N19)/F19*100</f>
        <v>54.053019402626525</v>
      </c>
    </row>
    <row r="20" spans="1:19" x14ac:dyDescent="0.25">
      <c r="B20" s="88">
        <v>43680</v>
      </c>
      <c r="C20" s="89">
        <v>10.494030214424951</v>
      </c>
      <c r="D20" s="90">
        <v>75.629163341775666</v>
      </c>
      <c r="E20" s="96">
        <v>136.88912472082055</v>
      </c>
      <c r="F20" s="89">
        <v>343.69152850962064</v>
      </c>
      <c r="I20" s="68">
        <v>3</v>
      </c>
      <c r="J20" s="88">
        <v>43681</v>
      </c>
      <c r="K20" s="74">
        <v>11.474780701754385</v>
      </c>
      <c r="L20" s="82">
        <v>38.538692468677496</v>
      </c>
      <c r="M20" s="74">
        <v>53.561380444489146</v>
      </c>
      <c r="N20" s="82">
        <v>176.79101967110532</v>
      </c>
      <c r="P20" s="72">
        <f t="shared" si="5"/>
        <v>-9.3457943925233593</v>
      </c>
      <c r="Q20" s="72">
        <f t="shared" si="6"/>
        <v>49.042550828550972</v>
      </c>
      <c r="R20" s="72">
        <f t="shared" si="7"/>
        <v>60.872435590683139</v>
      </c>
      <c r="S20" s="72">
        <f t="shared" si="8"/>
        <v>48.561135493289711</v>
      </c>
    </row>
    <row r="21" spans="1:19" x14ac:dyDescent="0.25">
      <c r="B21" s="88">
        <v>43772</v>
      </c>
      <c r="C21" s="89">
        <v>14.800832521117607</v>
      </c>
      <c r="D21" s="90">
        <v>90.704150877449976</v>
      </c>
      <c r="E21" s="96">
        <v>123.0706360275102</v>
      </c>
      <c r="F21" s="89">
        <v>269.67326096483436</v>
      </c>
      <c r="I21" s="68">
        <v>4</v>
      </c>
      <c r="J21" s="88">
        <v>43803</v>
      </c>
      <c r="K21" s="74">
        <v>11.493088044184534</v>
      </c>
      <c r="L21" s="82">
        <v>29.868282917063407</v>
      </c>
      <c r="M21" s="74">
        <v>71.605586005203705</v>
      </c>
      <c r="N21" s="82">
        <v>281.97573923059622</v>
      </c>
      <c r="P21" s="72">
        <f t="shared" si="5"/>
        <v>22.348367716570223</v>
      </c>
      <c r="Q21" s="72">
        <f t="shared" si="6"/>
        <v>67.070654839800739</v>
      </c>
      <c r="R21" s="72">
        <f t="shared" si="7"/>
        <v>41.817489275672891</v>
      </c>
      <c r="S21" s="72">
        <f t="shared" si="8"/>
        <v>-4.5619941041785816</v>
      </c>
    </row>
    <row r="22" spans="1:19" x14ac:dyDescent="0.25">
      <c r="B22" s="88" t="s">
        <v>170</v>
      </c>
      <c r="C22" s="89">
        <v>10.240996588693957</v>
      </c>
      <c r="D22" s="90">
        <v>48.614296795725977</v>
      </c>
      <c r="E22" s="96">
        <v>142.04946955950095</v>
      </c>
      <c r="F22" s="89">
        <v>342.79806559452408</v>
      </c>
      <c r="I22" s="68">
        <v>5</v>
      </c>
      <c r="J22" s="88" t="s">
        <v>150</v>
      </c>
      <c r="K22" s="74">
        <v>10.961521280051983</v>
      </c>
      <c r="L22" s="82">
        <v>39.58595951535618</v>
      </c>
      <c r="M22" s="74">
        <v>100.24944310764329</v>
      </c>
      <c r="N22" s="82">
        <v>209.40215462491452</v>
      </c>
      <c r="P22" s="72">
        <f t="shared" si="5"/>
        <v>-7.0356892038562355</v>
      </c>
      <c r="Q22" s="72">
        <f t="shared" si="6"/>
        <v>18.571362490968998</v>
      </c>
      <c r="R22" s="72">
        <f t="shared" si="7"/>
        <v>29.426386864717351</v>
      </c>
      <c r="S22" s="72">
        <f t="shared" si="8"/>
        <v>38.91384589299166</v>
      </c>
    </row>
    <row r="23" spans="1:19" x14ac:dyDescent="0.25">
      <c r="B23" s="88" t="s">
        <v>171</v>
      </c>
      <c r="C23" s="89">
        <v>11.272092267706304</v>
      </c>
      <c r="D23" s="90">
        <v>45.762988598354447</v>
      </c>
      <c r="E23" s="96">
        <v>135.58534209296081</v>
      </c>
      <c r="F23" s="89">
        <v>265.58639938041682</v>
      </c>
      <c r="I23" s="68">
        <v>6</v>
      </c>
      <c r="J23" s="88" t="s">
        <v>151</v>
      </c>
      <c r="K23" s="74">
        <v>10.343648473034438</v>
      </c>
      <c r="L23" s="82">
        <v>45.762988598354447</v>
      </c>
      <c r="M23" s="74">
        <v>95.416979071636305</v>
      </c>
      <c r="N23" s="82">
        <v>272.16568968719184</v>
      </c>
      <c r="P23" s="72">
        <f t="shared" si="5"/>
        <v>8.236658932714624</v>
      </c>
      <c r="Q23" s="72">
        <f t="shared" si="6"/>
        <v>0</v>
      </c>
      <c r="R23" s="72">
        <f t="shared" si="7"/>
        <v>29.625889053540938</v>
      </c>
      <c r="S23" s="72">
        <f t="shared" si="8"/>
        <v>-2.4772692886848748</v>
      </c>
    </row>
    <row r="24" spans="1:19" x14ac:dyDescent="0.25">
      <c r="B24" s="88" t="s">
        <v>172</v>
      </c>
      <c r="C24" s="89">
        <v>9.2550154320987659</v>
      </c>
      <c r="D24" s="90">
        <v>48.784831311842446</v>
      </c>
      <c r="E24" s="96">
        <v>116.55683826688305</v>
      </c>
      <c r="F24" s="89">
        <v>242.32348005141816</v>
      </c>
      <c r="I24" s="68">
        <v>7</v>
      </c>
      <c r="J24" s="88" t="s">
        <v>152</v>
      </c>
      <c r="K24" s="74">
        <v>9.6146239441195576</v>
      </c>
      <c r="L24" s="82">
        <v>55.664839261597933</v>
      </c>
      <c r="M24" s="74">
        <v>77.022865086213713</v>
      </c>
      <c r="N24" s="82">
        <v>199.3052964765574</v>
      </c>
      <c r="P24" s="72">
        <f t="shared" si="5"/>
        <v>-3.8855528081949724</v>
      </c>
      <c r="Q24" s="72">
        <f t="shared" si="6"/>
        <v>-14.102760560505159</v>
      </c>
      <c r="R24" s="72">
        <f t="shared" si="7"/>
        <v>33.918192847808228</v>
      </c>
      <c r="S24" s="72">
        <f t="shared" si="8"/>
        <v>17.752379408604074</v>
      </c>
    </row>
    <row r="25" spans="1:19" x14ac:dyDescent="0.25">
      <c r="B25" s="88" t="s">
        <v>173</v>
      </c>
      <c r="C25" s="89">
        <v>13.430397173489277</v>
      </c>
      <c r="D25" s="90">
        <v>61.126267206444787</v>
      </c>
      <c r="E25" s="96">
        <v>89.266124739885001</v>
      </c>
      <c r="F25" s="89">
        <v>227.08809984992331</v>
      </c>
      <c r="I25" s="68">
        <v>8</v>
      </c>
      <c r="J25" s="88" t="s">
        <v>153</v>
      </c>
      <c r="K25" s="74">
        <v>10.195228232618584</v>
      </c>
      <c r="L25" s="82">
        <v>42.306634565673939</v>
      </c>
      <c r="M25" s="74">
        <v>76.944883067957804</v>
      </c>
      <c r="N25" s="82">
        <v>235.65970845539178</v>
      </c>
      <c r="P25" s="72">
        <f t="shared" si="5"/>
        <v>24.088408548756131</v>
      </c>
      <c r="Q25" s="72">
        <f t="shared" si="6"/>
        <v>30.788126775695897</v>
      </c>
      <c r="R25" s="72">
        <f t="shared" si="7"/>
        <v>13.802819051269896</v>
      </c>
      <c r="S25" s="72">
        <f t="shared" si="8"/>
        <v>-3.7745741019160519</v>
      </c>
    </row>
    <row r="26" spans="1:19" ht="15.75" thickBot="1" x14ac:dyDescent="0.3">
      <c r="B26" s="91" t="s">
        <v>174</v>
      </c>
      <c r="C26" s="92">
        <v>10.25211176088369</v>
      </c>
      <c r="D26" s="93">
        <v>55.41051990158752</v>
      </c>
      <c r="E26" s="108">
        <v>75.776369057059512</v>
      </c>
      <c r="F26" s="92">
        <v>146.0209086622439</v>
      </c>
      <c r="I26" s="69">
        <v>9</v>
      </c>
      <c r="J26" s="91" t="s">
        <v>154</v>
      </c>
      <c r="K26" s="77">
        <v>10.990943794671866</v>
      </c>
      <c r="L26" s="83">
        <v>41.028090831524729</v>
      </c>
      <c r="M26" s="77">
        <v>75.776369057059512</v>
      </c>
      <c r="N26" s="83">
        <v>146.0209086622439</v>
      </c>
      <c r="P26" s="72">
        <f t="shared" si="5"/>
        <v>-7.2066326530612459</v>
      </c>
      <c r="Q26" s="72">
        <f t="shared" si="6"/>
        <v>25.95613449505052</v>
      </c>
      <c r="R26" s="72">
        <f t="shared" si="7"/>
        <v>0</v>
      </c>
      <c r="S26" s="72">
        <f t="shared" si="8"/>
        <v>0</v>
      </c>
    </row>
    <row r="27" spans="1:19" x14ac:dyDescent="0.25">
      <c r="I27" s="61"/>
      <c r="K27" s="72">
        <f>AVERAGE(K18:K26)</f>
        <v>10.713863619955239</v>
      </c>
      <c r="L27" s="72">
        <f t="shared" ref="L27:N27" si="9">AVERAGE(L18:L26)</f>
        <v>44.650066257480802</v>
      </c>
      <c r="M27" s="72">
        <f t="shared" si="9"/>
        <v>74.888549811880864</v>
      </c>
      <c r="N27" s="72">
        <f t="shared" si="9"/>
        <v>207.01827310649242</v>
      </c>
    </row>
    <row r="28" spans="1:19" x14ac:dyDescent="0.25">
      <c r="I28" s="61"/>
    </row>
    <row r="29" spans="1:19" ht="15.75" thickBot="1" x14ac:dyDescent="0.3"/>
    <row r="30" spans="1:19" ht="15.75" thickBot="1" x14ac:dyDescent="0.3">
      <c r="A30" s="242" t="s">
        <v>112</v>
      </c>
      <c r="B30" s="244" t="s">
        <v>1</v>
      </c>
      <c r="C30" s="239" t="s">
        <v>182</v>
      </c>
      <c r="D30" s="240"/>
      <c r="E30" s="240"/>
      <c r="F30" s="241"/>
      <c r="I30" s="142" t="s">
        <v>112</v>
      </c>
      <c r="J30" s="144" t="s">
        <v>1</v>
      </c>
      <c r="K30" s="239" t="s">
        <v>162</v>
      </c>
      <c r="L30" s="240"/>
      <c r="M30" s="240"/>
      <c r="N30" s="241"/>
    </row>
    <row r="31" spans="1:19" ht="15.75" thickBot="1" x14ac:dyDescent="0.3">
      <c r="A31" s="243"/>
      <c r="B31" s="245"/>
      <c r="C31" s="118" t="s">
        <v>2</v>
      </c>
      <c r="D31" s="118" t="s">
        <v>91</v>
      </c>
      <c r="E31" s="118" t="s">
        <v>5</v>
      </c>
      <c r="F31" s="119" t="s">
        <v>6</v>
      </c>
      <c r="I31" s="143"/>
      <c r="J31" s="145"/>
      <c r="K31" s="132" t="s">
        <v>2</v>
      </c>
      <c r="L31" s="132" t="s">
        <v>91</v>
      </c>
      <c r="M31" s="132" t="s">
        <v>5</v>
      </c>
      <c r="N31" s="133" t="s">
        <v>6</v>
      </c>
    </row>
    <row r="32" spans="1:19" x14ac:dyDescent="0.25">
      <c r="B32" s="110">
        <v>43499</v>
      </c>
      <c r="C32" s="105">
        <v>9.9121182586094871</v>
      </c>
      <c r="D32" s="111">
        <v>74.936350556804129</v>
      </c>
      <c r="E32" s="150">
        <v>130.19029581529568</v>
      </c>
      <c r="F32" s="105">
        <v>358.97028318903313</v>
      </c>
      <c r="I32" s="67">
        <v>1</v>
      </c>
      <c r="J32" s="110">
        <v>43528</v>
      </c>
      <c r="K32" s="127">
        <v>10.51364522417154</v>
      </c>
      <c r="L32" s="81">
        <v>62.213689941546171</v>
      </c>
      <c r="M32" s="127">
        <v>58.092081529581414</v>
      </c>
      <c r="N32" s="81">
        <v>228.99981962481957</v>
      </c>
      <c r="P32" s="71">
        <f>(C32-K32)/C32*100</f>
        <v>-6.0686015831134554</v>
      </c>
      <c r="Q32" s="71">
        <f t="shared" ref="Q32:S32" si="10">(D32-L32)/D32*100</f>
        <v>16.977955986279021</v>
      </c>
      <c r="R32" s="71">
        <f t="shared" si="10"/>
        <v>55.379100135083689</v>
      </c>
      <c r="S32" s="71">
        <f t="shared" si="10"/>
        <v>36.206468794457656</v>
      </c>
    </row>
    <row r="33" spans="2:19" x14ac:dyDescent="0.25">
      <c r="B33" s="113">
        <v>43619</v>
      </c>
      <c r="C33" s="90">
        <v>10.5489522417154</v>
      </c>
      <c r="D33" s="114">
        <v>46.408953080166185</v>
      </c>
      <c r="E33" s="103">
        <v>79.144058714974889</v>
      </c>
      <c r="F33" s="90">
        <v>177.33007317472007</v>
      </c>
      <c r="I33" s="68">
        <v>2</v>
      </c>
      <c r="J33" s="113">
        <v>43620</v>
      </c>
      <c r="K33" s="74">
        <v>11.845504385964913</v>
      </c>
      <c r="L33" s="82">
        <v>46.408953080166185</v>
      </c>
      <c r="M33" s="74">
        <v>37.293882202133169</v>
      </c>
      <c r="N33" s="82">
        <v>157.76450828982601</v>
      </c>
      <c r="P33" s="71">
        <f t="shared" ref="P33:P39" si="11">(C33-K33)/C33*100</f>
        <v>-12.29081442915583</v>
      </c>
      <c r="Q33" s="71">
        <f t="shared" ref="Q33:Q39" si="12">(D33-L33)/D33*100</f>
        <v>0</v>
      </c>
      <c r="R33" s="71">
        <f t="shared" ref="R33:R39" si="13">(E33-M33)/E33*100</f>
        <v>52.878481584522561</v>
      </c>
      <c r="S33" s="71">
        <f t="shared" ref="S33:S39" si="14">(F33-N33)/F33*100</f>
        <v>11.033416123173009</v>
      </c>
    </row>
    <row r="34" spans="2:19" x14ac:dyDescent="0.25">
      <c r="B34" s="113">
        <v>43711</v>
      </c>
      <c r="C34" s="90">
        <v>10.507106887589343</v>
      </c>
      <c r="D34" s="114">
        <v>67.97794598727954</v>
      </c>
      <c r="E34" s="99">
        <v>95.884403317288772</v>
      </c>
      <c r="F34" s="90">
        <v>267.16111525395598</v>
      </c>
      <c r="I34" s="68">
        <v>3</v>
      </c>
      <c r="J34" s="113">
        <v>43742</v>
      </c>
      <c r="K34" s="74">
        <v>11.324398960363872</v>
      </c>
      <c r="L34" s="82">
        <v>50.126734698969408</v>
      </c>
      <c r="M34" s="74">
        <v>47.073767126899476</v>
      </c>
      <c r="N34" s="82">
        <v>193.1862623249651</v>
      </c>
      <c r="P34" s="71">
        <f t="shared" si="11"/>
        <v>-7.7784691972619866</v>
      </c>
      <c r="Q34" s="71">
        <f t="shared" si="12"/>
        <v>26.260298143828244</v>
      </c>
      <c r="R34" s="71">
        <f t="shared" si="13"/>
        <v>50.90570989827323</v>
      </c>
      <c r="S34" s="71">
        <f t="shared" si="14"/>
        <v>27.689228972813812</v>
      </c>
    </row>
    <row r="35" spans="2:19" x14ac:dyDescent="0.25">
      <c r="B35" s="113" t="s">
        <v>176</v>
      </c>
      <c r="C35" s="90">
        <v>10.709795321637428</v>
      </c>
      <c r="D35" s="114">
        <v>82.094229177829945</v>
      </c>
      <c r="E35" s="103">
        <v>85.605824979305098</v>
      </c>
      <c r="F35" s="90">
        <v>230.07983834042034</v>
      </c>
      <c r="I35" s="68">
        <v>4</v>
      </c>
      <c r="J35" s="113" t="s">
        <v>156</v>
      </c>
      <c r="K35" s="74">
        <v>10.722871994801821</v>
      </c>
      <c r="L35" s="82">
        <v>43.069592645705178</v>
      </c>
      <c r="M35" s="74">
        <v>64.208924538429486</v>
      </c>
      <c r="N35" s="82">
        <v>287.27071796405284</v>
      </c>
      <c r="P35" s="71">
        <f t="shared" si="11"/>
        <v>-0.1221001221001311</v>
      </c>
      <c r="Q35" s="71">
        <f t="shared" si="12"/>
        <v>47.536394364079868</v>
      </c>
      <c r="R35" s="71">
        <f t="shared" si="13"/>
        <v>24.994678161267924</v>
      </c>
      <c r="S35" s="71">
        <f t="shared" si="14"/>
        <v>-24.85697140442802</v>
      </c>
    </row>
    <row r="36" spans="2:19" x14ac:dyDescent="0.25">
      <c r="B36" s="113" t="s">
        <v>177</v>
      </c>
      <c r="C36" s="90">
        <v>10.579028589993502</v>
      </c>
      <c r="D36" s="114">
        <v>44.438613838485473</v>
      </c>
      <c r="E36" s="103">
        <v>119.95292887029268</v>
      </c>
      <c r="F36" s="90">
        <v>250.11719355338582</v>
      </c>
      <c r="I36" s="68">
        <v>5</v>
      </c>
      <c r="J36" s="113" t="s">
        <v>157</v>
      </c>
      <c r="K36" s="74">
        <v>12.690911306042885</v>
      </c>
      <c r="L36" s="82">
        <v>53.594110798860477</v>
      </c>
      <c r="M36" s="74">
        <v>58.071342786300725</v>
      </c>
      <c r="N36" s="82">
        <v>149.85786649620312</v>
      </c>
      <c r="P36" s="71">
        <f t="shared" si="11"/>
        <v>-19.962917181705812</v>
      </c>
      <c r="Q36" s="71">
        <f t="shared" si="12"/>
        <v>-20.602570983989622</v>
      </c>
      <c r="R36" s="71">
        <f t="shared" si="13"/>
        <v>51.588224369999047</v>
      </c>
      <c r="S36" s="71">
        <f t="shared" si="14"/>
        <v>40.084940036632474</v>
      </c>
    </row>
    <row r="37" spans="2:19" x14ac:dyDescent="0.25">
      <c r="B37" s="113" t="s">
        <v>178</v>
      </c>
      <c r="C37" s="90">
        <v>10.984405458089668</v>
      </c>
      <c r="D37" s="114">
        <v>67.65928449844796</v>
      </c>
      <c r="E37" s="99">
        <v>97.985124813849993</v>
      </c>
      <c r="F37" s="90">
        <v>296.77299173377872</v>
      </c>
      <c r="I37" s="68">
        <v>6</v>
      </c>
      <c r="J37" s="113" t="s">
        <v>158</v>
      </c>
      <c r="K37" s="74">
        <v>10.722871994801819</v>
      </c>
      <c r="L37" s="82">
        <v>57.096999920331122</v>
      </c>
      <c r="M37" s="74">
        <v>65.221198885062549</v>
      </c>
      <c r="N37" s="82">
        <v>181.90108250103012</v>
      </c>
      <c r="P37" s="71">
        <f t="shared" si="11"/>
        <v>2.3809523809523787</v>
      </c>
      <c r="Q37" s="71">
        <f t="shared" si="12"/>
        <v>15.610990651784276</v>
      </c>
      <c r="R37" s="71">
        <f t="shared" si="13"/>
        <v>33.437652899898467</v>
      </c>
      <c r="S37" s="71">
        <f t="shared" si="14"/>
        <v>38.706995728167499</v>
      </c>
    </row>
    <row r="38" spans="2:19" x14ac:dyDescent="0.25">
      <c r="B38" s="113" t="s">
        <v>179</v>
      </c>
      <c r="C38" s="90">
        <v>11.565663580246913</v>
      </c>
      <c r="D38" s="114">
        <v>60.573999330952688</v>
      </c>
      <c r="E38" s="103">
        <v>78.800634251827816</v>
      </c>
      <c r="F38" s="90">
        <v>216.77910981808427</v>
      </c>
      <c r="I38" s="68">
        <v>7</v>
      </c>
      <c r="J38" s="113" t="s">
        <v>159</v>
      </c>
      <c r="K38" s="74">
        <v>10.356071312540612</v>
      </c>
      <c r="L38" s="82">
        <v>41.901604214398397</v>
      </c>
      <c r="M38" s="74">
        <v>89.943235018727066</v>
      </c>
      <c r="N38" s="82">
        <v>241.38785781166442</v>
      </c>
      <c r="P38" s="71">
        <f t="shared" si="11"/>
        <v>10.458477019616693</v>
      </c>
      <c r="Q38" s="71">
        <f t="shared" si="12"/>
        <v>30.825759109177543</v>
      </c>
      <c r="R38" s="71">
        <f t="shared" si="13"/>
        <v>-14.140242490041624</v>
      </c>
      <c r="S38" s="71">
        <f t="shared" si="14"/>
        <v>-11.351992364131034</v>
      </c>
    </row>
    <row r="39" spans="2:19" ht="15.75" thickBot="1" x14ac:dyDescent="0.3">
      <c r="B39" s="113" t="s">
        <v>180</v>
      </c>
      <c r="C39" s="90">
        <v>11.883426738141651</v>
      </c>
      <c r="D39" s="114">
        <v>65.599898679166984</v>
      </c>
      <c r="E39" s="103">
        <v>80.921105669427774</v>
      </c>
      <c r="F39" s="90">
        <v>188.29777764341512</v>
      </c>
      <c r="I39" s="69">
        <v>8</v>
      </c>
      <c r="J39" s="116" t="s">
        <v>160</v>
      </c>
      <c r="K39" s="77">
        <v>9.6983146523716695</v>
      </c>
      <c r="L39" s="83">
        <v>38.26056747804715</v>
      </c>
      <c r="M39" s="77">
        <v>64.303397357088471</v>
      </c>
      <c r="N39" s="83">
        <v>292.03322449966731</v>
      </c>
      <c r="P39" s="71">
        <f t="shared" si="11"/>
        <v>18.387895460797807</v>
      </c>
      <c r="Q39" s="71">
        <f t="shared" si="12"/>
        <v>41.675874127229676</v>
      </c>
      <c r="R39" s="71">
        <f t="shared" si="13"/>
        <v>20.535691121454263</v>
      </c>
      <c r="S39" s="71">
        <f t="shared" si="14"/>
        <v>-55.091168974229198</v>
      </c>
    </row>
    <row r="40" spans="2:19" ht="15.75" thickBot="1" x14ac:dyDescent="0.3">
      <c r="B40" s="116" t="s">
        <v>181</v>
      </c>
      <c r="C40" s="93">
        <v>10.61470922677063</v>
      </c>
      <c r="D40" s="117">
        <v>47.326095618511111</v>
      </c>
      <c r="E40" s="107">
        <v>71.82726896659301</v>
      </c>
      <c r="F40" s="93">
        <v>259.84685212543394</v>
      </c>
    </row>
  </sheetData>
  <mergeCells count="10">
    <mergeCell ref="I4:I5"/>
    <mergeCell ref="J4:J5"/>
    <mergeCell ref="K4:N4"/>
    <mergeCell ref="I16:I17"/>
    <mergeCell ref="J16:J17"/>
    <mergeCell ref="A30:A31"/>
    <mergeCell ref="B30:B31"/>
    <mergeCell ref="C30:F30"/>
    <mergeCell ref="K30:N30"/>
    <mergeCell ref="C16:F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kolhapur</vt:lpstr>
      <vt:lpstr>nagpur</vt:lpstr>
      <vt:lpstr>% reduction at Nagpur</vt:lpstr>
      <vt:lpstr>% reduction at Sangli</vt:lpstr>
      <vt:lpstr>march 19 to april 19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2020-05-13T08:32:10Z</dcterms:modified>
</cp:coreProperties>
</file>