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G Drive\MPCB\Calculation 2\2024\"/>
    </mc:Choice>
  </mc:AlternateContent>
  <xr:revisionPtr revIDLastSave="0" documentId="13_ncr:1_{B10C590A-2C5A-4275-8C83-11059DC79390}" xr6:coauthVersionLast="47" xr6:coauthVersionMax="47" xr10:uidLastSave="{00000000-0000-0000-0000-000000000000}"/>
  <bookViews>
    <workbookView xWindow="-120" yWindow="-120" windowWidth="29040" windowHeight="15720" tabRatio="767" xr2:uid="{00000000-000D-0000-FFFF-FFFF00000000}"/>
  </bookViews>
  <sheets>
    <sheet name="Udyoga Bhawan" sheetId="1" r:id="rId1"/>
    <sheet name="Kupwad" sheetId="2" r:id="rId2"/>
    <sheet name="Rajawada Chowk" sheetId="3" r:id="rId3"/>
    <sheet name="Monthly Data Sheet" sheetId="7" r:id="rId4"/>
  </sheets>
  <externalReferences>
    <externalReference r:id="rId5"/>
    <externalReference r:id="rId6"/>
  </externalReferences>
  <definedNames>
    <definedName name="_xlnm._FilterDatabase" localSheetId="0" hidden="1">'Udyoga Bhawan'!$A$10:$T$21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3" l="1"/>
  <c r="N15" i="3"/>
  <c r="K12" i="2"/>
  <c r="H13" i="3"/>
  <c r="H13" i="2"/>
  <c r="H13" i="1"/>
  <c r="E13" i="3"/>
  <c r="E13" i="2"/>
  <c r="D13" i="3"/>
  <c r="D13" i="2"/>
  <c r="D13" i="1"/>
  <c r="C13" i="2"/>
  <c r="G12" i="3"/>
  <c r="G12" i="2"/>
  <c r="G12" i="1"/>
  <c r="F12" i="3"/>
  <c r="F12" i="2"/>
  <c r="C12" i="3"/>
  <c r="C12" i="2"/>
  <c r="C16" i="2"/>
  <c r="D16" i="2"/>
  <c r="E16" i="2"/>
  <c r="F16" i="2"/>
  <c r="G16" i="2"/>
  <c r="M17" i="1"/>
  <c r="E17" i="1"/>
  <c r="P14" i="1"/>
  <c r="L14" i="1"/>
  <c r="G19" i="2"/>
  <c r="H19" i="2"/>
  <c r="F19" i="2"/>
  <c r="K12" i="1"/>
  <c r="N20" i="2"/>
  <c r="O20" i="2"/>
  <c r="G20" i="2"/>
  <c r="H20" i="2"/>
  <c r="K12" i="3"/>
  <c r="L12" i="2"/>
  <c r="L12" i="3"/>
  <c r="O12" i="1"/>
  <c r="N12" i="2"/>
  <c r="N12" i="3"/>
  <c r="P12" i="1"/>
  <c r="O12" i="2"/>
  <c r="O12" i="3"/>
  <c r="K13" i="2"/>
  <c r="L13" i="1"/>
  <c r="L13" i="3"/>
  <c r="M13" i="2"/>
  <c r="M13" i="3"/>
  <c r="N13" i="3"/>
  <c r="P13" i="2"/>
  <c r="P13" i="3"/>
  <c r="D14" i="3"/>
  <c r="E14" i="2"/>
  <c r="E14" i="3"/>
  <c r="F14" i="2"/>
  <c r="N14" i="2"/>
  <c r="O14" i="2"/>
  <c r="O14" i="3"/>
  <c r="H14" i="1"/>
  <c r="H14" i="2"/>
  <c r="P14" i="2"/>
  <c r="P14" i="3"/>
  <c r="L15" i="1"/>
  <c r="L15" i="2"/>
  <c r="E15" i="3"/>
  <c r="M15" i="1"/>
  <c r="M15" i="2"/>
  <c r="N15" i="1"/>
  <c r="G15" i="1"/>
  <c r="G15" i="2"/>
  <c r="G15" i="3"/>
  <c r="O15" i="1"/>
  <c r="O15" i="2"/>
  <c r="O15" i="3"/>
  <c r="H15" i="2"/>
  <c r="H15" i="3"/>
  <c r="P15" i="2"/>
  <c r="D16" i="3"/>
  <c r="L16" i="3"/>
  <c r="E16" i="1"/>
  <c r="E16" i="3"/>
  <c r="N16" i="2"/>
  <c r="O16" i="2"/>
  <c r="O16" i="3"/>
  <c r="P16" i="3"/>
  <c r="K17" i="1"/>
  <c r="K17" i="2"/>
  <c r="K17" i="3"/>
  <c r="D17" i="2"/>
  <c r="E17" i="2"/>
  <c r="M17" i="2"/>
  <c r="M17" i="3"/>
  <c r="F17" i="1"/>
  <c r="F17" i="2"/>
  <c r="F17" i="3"/>
  <c r="N17" i="2"/>
  <c r="N17" i="3"/>
  <c r="O17" i="3"/>
  <c r="H17" i="1"/>
  <c r="P17" i="1"/>
  <c r="P17" i="2"/>
  <c r="P17" i="3"/>
  <c r="K18" i="3"/>
  <c r="D18" i="1"/>
  <c r="D18" i="2"/>
  <c r="L18" i="1"/>
  <c r="L18" i="2"/>
  <c r="E18" i="1"/>
  <c r="E18" i="2"/>
  <c r="F18" i="1"/>
  <c r="F18" i="2"/>
  <c r="F18" i="3"/>
  <c r="G18" i="1"/>
  <c r="G18" i="3"/>
  <c r="O18" i="2"/>
  <c r="O18" i="3"/>
  <c r="P18" i="1"/>
  <c r="P18" i="2"/>
  <c r="P18" i="3"/>
  <c r="K19" i="1"/>
  <c r="D19" i="2"/>
  <c r="D19" i="3"/>
  <c r="L19" i="1"/>
  <c r="L19" i="2"/>
  <c r="G17" i="1"/>
  <c r="E19" i="2"/>
  <c r="E19" i="3"/>
  <c r="M19" i="1"/>
  <c r="O19" i="1"/>
  <c r="O19" i="3"/>
  <c r="H19" i="1"/>
  <c r="K20" i="3"/>
  <c r="L20" i="3"/>
  <c r="E20" i="3"/>
  <c r="M20" i="3"/>
  <c r="N20" i="3"/>
  <c r="O20" i="3"/>
  <c r="H20" i="3"/>
  <c r="P20" i="3"/>
  <c r="D41" i="3"/>
  <c r="D33" i="1"/>
  <c r="E33" i="1"/>
  <c r="D33" i="2"/>
  <c r="C33" i="3"/>
  <c r="E33" i="3"/>
  <c r="E34" i="1"/>
  <c r="D34" i="3"/>
  <c r="E34" i="3"/>
  <c r="D35" i="3"/>
  <c r="E36" i="1"/>
  <c r="D36" i="2"/>
  <c r="J37" i="1"/>
  <c r="C37" i="2"/>
  <c r="E37" i="2"/>
  <c r="J37" i="3"/>
  <c r="E38" i="1"/>
  <c r="C38" i="2"/>
  <c r="D38" i="2"/>
  <c r="E38" i="2"/>
  <c r="C38" i="3"/>
  <c r="C39" i="1"/>
  <c r="D39" i="1"/>
  <c r="I39" i="1"/>
  <c r="J39" i="1"/>
  <c r="E39" i="1"/>
  <c r="C39" i="2"/>
  <c r="C40" i="2"/>
  <c r="D40" i="2"/>
  <c r="E40" i="3"/>
  <c r="C41" i="2"/>
  <c r="J41" i="2"/>
  <c r="E41" i="3"/>
  <c r="I41" i="3"/>
  <c r="E34" i="2"/>
  <c r="D34" i="2"/>
  <c r="D35" i="2"/>
  <c r="I35" i="2"/>
  <c r="J36" i="3"/>
  <c r="E41" i="2"/>
  <c r="E40" i="2"/>
  <c r="J40" i="2"/>
  <c r="I40" i="1"/>
  <c r="C39" i="3"/>
  <c r="J39" i="2"/>
  <c r="E39" i="2"/>
  <c r="D38" i="1"/>
  <c r="F38" i="1"/>
  <c r="I39" i="2"/>
  <c r="J38" i="3"/>
  <c r="G20" i="3"/>
  <c r="F20" i="3"/>
  <c r="C20" i="3"/>
  <c r="M13" i="1"/>
  <c r="O14" i="1"/>
  <c r="N14" i="1"/>
  <c r="P15" i="1"/>
  <c r="M12" i="1"/>
  <c r="P12" i="2"/>
  <c r="N13" i="1"/>
  <c r="N13" i="2"/>
  <c r="O13" i="1"/>
  <c r="O13" i="3"/>
  <c r="P13" i="1"/>
  <c r="L14" i="2"/>
  <c r="M14" i="2"/>
  <c r="N15" i="2"/>
  <c r="K16" i="1"/>
  <c r="K16" i="3"/>
  <c r="L16" i="1"/>
  <c r="L16" i="2"/>
  <c r="M16" i="1"/>
  <c r="M16" i="2"/>
  <c r="N16" i="3"/>
  <c r="O16" i="1"/>
  <c r="O17" i="1"/>
  <c r="M18" i="1"/>
  <c r="M18" i="2"/>
  <c r="M18" i="3"/>
  <c r="N18" i="1"/>
  <c r="N18" i="2"/>
  <c r="N18" i="3"/>
  <c r="O18" i="1"/>
  <c r="M19" i="3"/>
  <c r="N19" i="3"/>
  <c r="P19" i="1"/>
  <c r="P19" i="3"/>
  <c r="E37" i="3"/>
  <c r="P19" i="2"/>
  <c r="L20" i="2"/>
  <c r="M20" i="2"/>
  <c r="P20" i="2"/>
  <c r="P16" i="1"/>
  <c r="P16" i="2"/>
  <c r="L17" i="2"/>
  <c r="O17" i="2"/>
  <c r="M19" i="2"/>
  <c r="N19" i="2"/>
  <c r="O19" i="2"/>
  <c r="D12" i="1"/>
  <c r="N12" i="1"/>
  <c r="M12" i="2"/>
  <c r="M12" i="3"/>
  <c r="O13" i="2"/>
  <c r="L14" i="3"/>
  <c r="M14" i="3"/>
  <c r="N14" i="3"/>
  <c r="P15" i="3"/>
  <c r="N19" i="1"/>
  <c r="C15" i="3"/>
  <c r="D14" i="1"/>
  <c r="C12" i="1"/>
  <c r="D12" i="3"/>
  <c r="F14" i="1"/>
  <c r="G14" i="1"/>
  <c r="E14" i="1"/>
  <c r="F13" i="2"/>
  <c r="H12" i="3"/>
  <c r="H12" i="2"/>
  <c r="H12" i="1"/>
  <c r="E12" i="3"/>
  <c r="E12" i="2"/>
  <c r="E12" i="1"/>
  <c r="D12" i="2"/>
  <c r="P12" i="3"/>
  <c r="G13" i="1"/>
  <c r="G13" i="3"/>
  <c r="F13" i="3"/>
  <c r="F13" i="1"/>
  <c r="F14" i="3"/>
  <c r="F15" i="3"/>
  <c r="N16" i="1"/>
  <c r="L17" i="3"/>
  <c r="K19" i="3"/>
  <c r="K15" i="3"/>
  <c r="K14" i="3"/>
  <c r="K13" i="3"/>
  <c r="K13" i="1"/>
  <c r="K18" i="2"/>
  <c r="C36" i="2"/>
  <c r="E13" i="1"/>
  <c r="E37" i="1"/>
  <c r="E36" i="3"/>
  <c r="D36" i="3"/>
  <c r="M16" i="3"/>
  <c r="K16" i="2"/>
  <c r="K14" i="2"/>
  <c r="K18" i="1"/>
  <c r="L17" i="1"/>
  <c r="M14" i="1"/>
  <c r="E38" i="3"/>
  <c r="H16" i="2"/>
  <c r="H15" i="1"/>
  <c r="C20" i="2"/>
  <c r="D20" i="2"/>
  <c r="E20" i="2"/>
  <c r="F20" i="2"/>
  <c r="C17" i="3"/>
  <c r="C16" i="3"/>
  <c r="C14" i="2"/>
  <c r="C14" i="3"/>
  <c r="D14" i="2"/>
  <c r="G14" i="2"/>
  <c r="G14" i="3"/>
  <c r="H14" i="3"/>
  <c r="D15" i="1"/>
  <c r="D15" i="2"/>
  <c r="D15" i="3"/>
  <c r="E15" i="1"/>
  <c r="E15" i="2"/>
  <c r="F15" i="1"/>
  <c r="F15" i="2"/>
  <c r="C16" i="1"/>
  <c r="D16" i="1"/>
  <c r="F16" i="1"/>
  <c r="F16" i="3"/>
  <c r="G16" i="1"/>
  <c r="G16" i="3"/>
  <c r="H16" i="1"/>
  <c r="H16" i="3"/>
  <c r="C17" i="1"/>
  <c r="C17" i="2"/>
  <c r="D17" i="1"/>
  <c r="E17" i="3"/>
  <c r="G17" i="2"/>
  <c r="G17" i="3"/>
  <c r="H17" i="2"/>
  <c r="H17" i="3"/>
  <c r="C18" i="1"/>
  <c r="C18" i="2"/>
  <c r="C18" i="3"/>
  <c r="E18" i="3"/>
  <c r="H18" i="1"/>
  <c r="H18" i="2"/>
  <c r="H18" i="3"/>
  <c r="C19" i="1"/>
  <c r="C19" i="2"/>
  <c r="D19" i="1"/>
  <c r="F19" i="1"/>
  <c r="F19" i="3"/>
  <c r="G19" i="1"/>
  <c r="G19" i="3"/>
  <c r="H19" i="3"/>
  <c r="D18" i="3"/>
  <c r="E19" i="1"/>
  <c r="C40" i="3"/>
  <c r="E35" i="3"/>
  <c r="D37" i="3"/>
  <c r="C38" i="1"/>
  <c r="D39" i="2"/>
  <c r="C40" i="1"/>
  <c r="I37" i="1"/>
  <c r="E40" i="1"/>
  <c r="C37" i="1"/>
  <c r="J33" i="1"/>
  <c r="L18" i="3"/>
  <c r="K19" i="2"/>
  <c r="G18" i="2"/>
  <c r="G13" i="2"/>
  <c r="C14" i="1"/>
  <c r="K15" i="2"/>
  <c r="C15" i="2"/>
  <c r="F12" i="1"/>
  <c r="C15" i="1"/>
  <c r="K20" i="2"/>
  <c r="Q20" i="2" s="1"/>
  <c r="D17" i="3"/>
  <c r="K14" i="1"/>
  <c r="C19" i="3"/>
  <c r="K15" i="1"/>
  <c r="L15" i="3"/>
  <c r="N17" i="1"/>
  <c r="D20" i="3"/>
  <c r="L13" i="2"/>
  <c r="L19" i="3"/>
  <c r="L12" i="1"/>
  <c r="C13" i="3"/>
  <c r="C13" i="1"/>
  <c r="H41" i="2"/>
  <c r="H37" i="3"/>
  <c r="C33" i="2"/>
  <c r="D40" i="3"/>
  <c r="G40" i="3"/>
  <c r="G38" i="2"/>
  <c r="F38" i="2"/>
  <c r="J35" i="2"/>
  <c r="C36" i="3"/>
  <c r="F40" i="2"/>
  <c r="G40" i="2"/>
  <c r="J39" i="3"/>
  <c r="I34" i="1"/>
  <c r="G39" i="1"/>
  <c r="F39" i="1"/>
  <c r="J34" i="2"/>
  <c r="D35" i="1"/>
  <c r="J33" i="3"/>
  <c r="I34" i="2"/>
  <c r="I40" i="3"/>
  <c r="J40" i="3"/>
  <c r="E39" i="3"/>
  <c r="C35" i="1"/>
  <c r="G38" i="1"/>
  <c r="I38" i="2"/>
  <c r="H33" i="3"/>
  <c r="H35" i="3"/>
  <c r="C35" i="3"/>
  <c r="D33" i="3"/>
  <c r="G33" i="3"/>
  <c r="J38" i="2"/>
  <c r="H41" i="3"/>
  <c r="I40" i="2"/>
  <c r="I33" i="3"/>
  <c r="C41" i="3"/>
  <c r="D39" i="3"/>
  <c r="G39" i="3"/>
  <c r="J36" i="1"/>
  <c r="J34" i="3"/>
  <c r="I36" i="3"/>
  <c r="I38" i="1"/>
  <c r="J38" i="1"/>
  <c r="I41" i="2"/>
  <c r="I36" i="1"/>
  <c r="D41" i="2"/>
  <c r="G41" i="2"/>
  <c r="D36" i="1"/>
  <c r="I36" i="2"/>
  <c r="J34" i="1"/>
  <c r="E33" i="2"/>
  <c r="J33" i="2"/>
  <c r="F39" i="2"/>
  <c r="G39" i="2"/>
  <c r="I34" i="3"/>
  <c r="D40" i="1"/>
  <c r="F40" i="1"/>
  <c r="E36" i="2"/>
  <c r="F36" i="2"/>
  <c r="J41" i="3"/>
  <c r="C37" i="3"/>
  <c r="J40" i="1"/>
  <c r="D37" i="1"/>
  <c r="G37" i="1"/>
  <c r="E35" i="2"/>
  <c r="H40" i="3"/>
  <c r="I37" i="3"/>
  <c r="E35" i="1"/>
  <c r="I33" i="2"/>
  <c r="D34" i="1"/>
  <c r="I37" i="2"/>
  <c r="J35" i="3"/>
  <c r="C36" i="1"/>
  <c r="J37" i="2"/>
  <c r="F37" i="3"/>
  <c r="G37" i="3"/>
  <c r="C34" i="1"/>
  <c r="H34" i="1"/>
  <c r="H35" i="2"/>
  <c r="G35" i="1"/>
  <c r="F35" i="1"/>
  <c r="G40" i="1"/>
  <c r="H36" i="1"/>
  <c r="G36" i="2"/>
  <c r="I35" i="3"/>
  <c r="K35" i="3"/>
  <c r="F41" i="3"/>
  <c r="G41" i="3"/>
  <c r="C33" i="1"/>
  <c r="D38" i="3"/>
  <c r="K40" i="3"/>
  <c r="L40" i="3"/>
  <c r="I39" i="3"/>
  <c r="C35" i="2"/>
  <c r="H35" i="1"/>
  <c r="H36" i="2"/>
  <c r="C34" i="3"/>
  <c r="G49" i="3"/>
  <c r="P8" i="7"/>
  <c r="G36" i="3"/>
  <c r="F36" i="3"/>
  <c r="H40" i="1"/>
  <c r="H33" i="1"/>
  <c r="H39" i="2"/>
  <c r="K41" i="3"/>
  <c r="L41" i="3"/>
  <c r="F39" i="3"/>
  <c r="I33" i="1"/>
  <c r="F33" i="3"/>
  <c r="H33" i="2"/>
  <c r="I35" i="1"/>
  <c r="D37" i="2"/>
  <c r="K33" i="3"/>
  <c r="L33" i="3"/>
  <c r="J35" i="1"/>
  <c r="H38" i="2"/>
  <c r="G45" i="2"/>
  <c r="M7" i="7"/>
  <c r="G33" i="2"/>
  <c r="G47" i="2"/>
  <c r="O7" i="7"/>
  <c r="F33" i="2"/>
  <c r="H38" i="1"/>
  <c r="F37" i="1"/>
  <c r="F40" i="3"/>
  <c r="H37" i="2"/>
  <c r="F36" i="1"/>
  <c r="G36" i="1"/>
  <c r="H39" i="1"/>
  <c r="J36" i="2"/>
  <c r="H37" i="1"/>
  <c r="H39" i="3"/>
  <c r="L37" i="3"/>
  <c r="K37" i="3"/>
  <c r="F41" i="2"/>
  <c r="H40" i="2"/>
  <c r="F35" i="3"/>
  <c r="G35" i="3"/>
  <c r="C34" i="2"/>
  <c r="G46" i="2"/>
  <c r="N7" i="7"/>
  <c r="I38" i="3"/>
  <c r="K41" i="2"/>
  <c r="L41" i="2"/>
  <c r="H34" i="2"/>
  <c r="K35" i="1"/>
  <c r="L35" i="1"/>
  <c r="H34" i="3"/>
  <c r="G34" i="3"/>
  <c r="F34" i="3"/>
  <c r="G47" i="3"/>
  <c r="N8" i="7"/>
  <c r="G50" i="3"/>
  <c r="Q8" i="7"/>
  <c r="L36" i="2"/>
  <c r="K36" i="2"/>
  <c r="L36" i="1"/>
  <c r="K36" i="1"/>
  <c r="K37" i="2"/>
  <c r="L37" i="2"/>
  <c r="H38" i="3"/>
  <c r="K35" i="2"/>
  <c r="L35" i="2"/>
  <c r="H47" i="1"/>
  <c r="S6" i="7"/>
  <c r="L33" i="1"/>
  <c r="H49" i="1"/>
  <c r="U6" i="7"/>
  <c r="K33" i="1"/>
  <c r="H50" i="1"/>
  <c r="V6" i="7"/>
  <c r="H48" i="1"/>
  <c r="T6" i="7"/>
  <c r="H46" i="1"/>
  <c r="R6" i="7"/>
  <c r="G38" i="3"/>
  <c r="F38" i="3"/>
  <c r="K34" i="1"/>
  <c r="L34" i="1"/>
  <c r="G34" i="2"/>
  <c r="F34" i="2"/>
  <c r="F35" i="2"/>
  <c r="G35" i="2"/>
  <c r="L40" i="2"/>
  <c r="K40" i="2"/>
  <c r="K38" i="2"/>
  <c r="L38" i="2"/>
  <c r="L35" i="3"/>
  <c r="L38" i="1"/>
  <c r="K38" i="1"/>
  <c r="L39" i="2"/>
  <c r="K39" i="2"/>
  <c r="L39" i="3"/>
  <c r="K39" i="3"/>
  <c r="G48" i="2"/>
  <c r="P7" i="7"/>
  <c r="K40" i="1"/>
  <c r="L40" i="1"/>
  <c r="H36" i="3"/>
  <c r="G34" i="1"/>
  <c r="F34" i="1"/>
  <c r="L39" i="1"/>
  <c r="K39" i="1"/>
  <c r="L33" i="2"/>
  <c r="H47" i="2"/>
  <c r="T7" i="7"/>
  <c r="K33" i="2"/>
  <c r="H46" i="2"/>
  <c r="S7" i="7"/>
  <c r="H45" i="2"/>
  <c r="R7" i="7"/>
  <c r="H49" i="2"/>
  <c r="V7" i="7"/>
  <c r="H48" i="2"/>
  <c r="U7" i="7"/>
  <c r="G46" i="3"/>
  <c r="M8" i="7"/>
  <c r="G48" i="3"/>
  <c r="O8" i="7"/>
  <c r="G49" i="2"/>
  <c r="Q7" i="7"/>
  <c r="K37" i="1"/>
  <c r="L37" i="1"/>
  <c r="F37" i="2"/>
  <c r="G37" i="2"/>
  <c r="G48" i="1"/>
  <c r="O6" i="7"/>
  <c r="G50" i="1"/>
  <c r="Q6" i="7"/>
  <c r="G33" i="1"/>
  <c r="G46" i="1"/>
  <c r="M6" i="7"/>
  <c r="G49" i="1"/>
  <c r="P6" i="7"/>
  <c r="G47" i="1"/>
  <c r="N6" i="7"/>
  <c r="F33" i="1"/>
  <c r="L38" i="3"/>
  <c r="K38" i="3"/>
  <c r="H46" i="3"/>
  <c r="R8" i="7"/>
  <c r="K36" i="3"/>
  <c r="L36" i="3"/>
  <c r="K34" i="3"/>
  <c r="L34" i="3"/>
  <c r="H49" i="3"/>
  <c r="U8" i="7"/>
  <c r="H48" i="3"/>
  <c r="T8" i="7"/>
  <c r="H50" i="3"/>
  <c r="V8" i="7"/>
  <c r="H47" i="3"/>
  <c r="S8" i="7"/>
  <c r="K34" i="2"/>
  <c r="L34" i="2"/>
  <c r="R18" i="1" l="1"/>
  <c r="F47" i="2"/>
  <c r="K7" i="7" s="1"/>
  <c r="E50" i="3"/>
  <c r="I13" i="2"/>
  <c r="I19" i="1"/>
  <c r="Q14" i="3"/>
  <c r="R14" i="1"/>
  <c r="Q12" i="3"/>
  <c r="I12" i="2"/>
  <c r="Q15" i="3"/>
  <c r="R16" i="1"/>
  <c r="I17" i="2"/>
  <c r="Q19" i="3"/>
  <c r="Q15" i="2"/>
  <c r="R15" i="2"/>
  <c r="I16" i="3"/>
  <c r="I17" i="3"/>
  <c r="I20" i="3"/>
  <c r="Q18" i="1"/>
  <c r="I19" i="3"/>
  <c r="F49" i="2"/>
  <c r="I19" i="2"/>
  <c r="J18" i="2"/>
  <c r="I15" i="3"/>
  <c r="I14" i="3"/>
  <c r="Q16" i="3"/>
  <c r="Q14" i="2"/>
  <c r="I12" i="1"/>
  <c r="J12" i="1"/>
  <c r="R17" i="3"/>
  <c r="J15" i="2"/>
  <c r="J17" i="2"/>
  <c r="Q13" i="3"/>
  <c r="J13" i="3"/>
  <c r="I14" i="1"/>
  <c r="R16" i="2"/>
  <c r="I17" i="1"/>
  <c r="J16" i="2"/>
  <c r="I15" i="2"/>
  <c r="R12" i="3"/>
  <c r="Q19" i="2"/>
  <c r="R13" i="1"/>
  <c r="E48" i="3"/>
  <c r="G8" i="7" s="1"/>
  <c r="Q18" i="2"/>
  <c r="I16" i="2"/>
  <c r="F50" i="3"/>
  <c r="J20" i="3"/>
  <c r="Q18" i="3"/>
  <c r="F46" i="3"/>
  <c r="I8" i="7" s="1"/>
  <c r="E46" i="2"/>
  <c r="F7" i="7" s="1"/>
  <c r="R19" i="2"/>
  <c r="Q20" i="3"/>
  <c r="R20" i="3"/>
  <c r="J20" i="2"/>
  <c r="E46" i="1"/>
  <c r="E6" i="7" s="1"/>
  <c r="Q17" i="2"/>
  <c r="Q14" i="1"/>
  <c r="E47" i="1"/>
  <c r="F6" i="7" s="1"/>
  <c r="R17" i="2"/>
  <c r="J17" i="3"/>
  <c r="J15" i="3"/>
  <c r="I18" i="1"/>
  <c r="R17" i="1"/>
  <c r="J13" i="1"/>
  <c r="R16" i="3"/>
  <c r="J14" i="1"/>
  <c r="R19" i="3"/>
  <c r="E49" i="3"/>
  <c r="H8" i="7" s="1"/>
  <c r="J18" i="3"/>
  <c r="I18" i="2"/>
  <c r="F49" i="1"/>
  <c r="L6" i="7" s="1"/>
  <c r="R20" i="2"/>
  <c r="E47" i="3"/>
  <c r="F8" i="7" s="1"/>
  <c r="F47" i="3"/>
  <c r="J8" i="7" s="1"/>
  <c r="Q16" i="1"/>
  <c r="F47" i="1"/>
  <c r="J6" i="7" s="1"/>
  <c r="I20" i="2"/>
  <c r="I15" i="1"/>
  <c r="R14" i="2"/>
  <c r="F48" i="3"/>
  <c r="K8" i="7" s="1"/>
  <c r="J12" i="2"/>
  <c r="E49" i="1"/>
  <c r="H6" i="7" s="1"/>
  <c r="J16" i="3"/>
  <c r="J14" i="2"/>
  <c r="J19" i="1"/>
  <c r="R12" i="1"/>
  <c r="Q15" i="1"/>
  <c r="E49" i="2"/>
  <c r="J19" i="3"/>
  <c r="E47" i="2"/>
  <c r="G7" i="7" s="1"/>
  <c r="J14" i="3"/>
  <c r="R13" i="2"/>
  <c r="R19" i="1"/>
  <c r="Q12" i="2"/>
  <c r="R13" i="3"/>
  <c r="F49" i="3"/>
  <c r="L8" i="7" s="1"/>
  <c r="R18" i="3"/>
  <c r="R12" i="2"/>
  <c r="R18" i="2"/>
  <c r="Q17" i="3"/>
  <c r="E50" i="1"/>
  <c r="Q13" i="2"/>
  <c r="E45" i="2"/>
  <c r="E7" i="7" s="1"/>
  <c r="R14" i="3"/>
  <c r="I18" i="3"/>
  <c r="F48" i="1"/>
  <c r="K6" i="7" s="1"/>
  <c r="Q12" i="1"/>
  <c r="E48" i="1"/>
  <c r="G6" i="7" s="1"/>
  <c r="R15" i="3"/>
  <c r="I14" i="2"/>
  <c r="J18" i="1"/>
  <c r="F50" i="1"/>
  <c r="J13" i="2"/>
  <c r="Q16" i="2"/>
  <c r="J15" i="1"/>
  <c r="J17" i="1"/>
  <c r="F48" i="2"/>
  <c r="L7" i="7" s="1"/>
  <c r="F46" i="1"/>
  <c r="I6" i="7" s="1"/>
  <c r="F46" i="2"/>
  <c r="J7" i="7" s="1"/>
  <c r="J12" i="3"/>
  <c r="I13" i="3"/>
  <c r="E46" i="3"/>
  <c r="E8" i="7" s="1"/>
  <c r="I12" i="3"/>
  <c r="F45" i="2"/>
  <c r="I7" i="7" s="1"/>
  <c r="Q13" i="1"/>
  <c r="E48" i="2"/>
  <c r="H7" i="7" s="1"/>
  <c r="I13" i="1"/>
  <c r="Q17" i="1"/>
  <c r="J16" i="1"/>
  <c r="J19" i="2"/>
  <c r="I16" i="1"/>
  <c r="R15" i="1"/>
  <c r="Q19" i="1"/>
</calcChain>
</file>

<file path=xl/sharedStrings.xml><?xml version="1.0" encoding="utf-8"?>
<sst xmlns="http://schemas.openxmlformats.org/spreadsheetml/2006/main" count="300" uniqueCount="95">
  <si>
    <t>City : Sangli</t>
  </si>
  <si>
    <t>n</t>
  </si>
  <si>
    <t>Parameter</t>
  </si>
  <si>
    <t>Unit</t>
  </si>
  <si>
    <t>State : Maharashtra</t>
  </si>
  <si>
    <t>am</t>
  </si>
  <si>
    <r>
      <t>SO</t>
    </r>
    <r>
      <rPr>
        <vertAlign val="subscript"/>
        <sz val="10"/>
        <rFont val="Arial"/>
        <family val="2"/>
      </rPr>
      <t>2</t>
    </r>
  </si>
  <si>
    <r>
      <t>µg/m</t>
    </r>
    <r>
      <rPr>
        <vertAlign val="superscript"/>
        <sz val="9"/>
        <rFont val="Arial"/>
        <family val="2"/>
      </rPr>
      <t>3</t>
    </r>
  </si>
  <si>
    <t>sd</t>
  </si>
  <si>
    <r>
      <t>NO</t>
    </r>
    <r>
      <rPr>
        <vertAlign val="subscript"/>
        <sz val="10"/>
        <rFont val="Arial"/>
        <family val="2"/>
      </rPr>
      <t>x</t>
    </r>
  </si>
  <si>
    <t>Industrial</t>
  </si>
  <si>
    <t>p</t>
  </si>
  <si>
    <t>** Monitoring could not be done due to power cut off or maintenance of machine</t>
  </si>
  <si>
    <t>Sr No</t>
  </si>
  <si>
    <t>Date</t>
  </si>
  <si>
    <r>
      <t>SO</t>
    </r>
    <r>
      <rPr>
        <b/>
        <vertAlign val="subscript"/>
        <sz val="10"/>
        <rFont val="Arial"/>
        <family val="2"/>
      </rPr>
      <t>2</t>
    </r>
  </si>
  <si>
    <t>4 hrs</t>
  </si>
  <si>
    <t xml:space="preserve">24 hrs </t>
  </si>
  <si>
    <r>
      <t>NO</t>
    </r>
    <r>
      <rPr>
        <b/>
        <vertAlign val="subscript"/>
        <sz val="10"/>
        <rFont val="Arial"/>
        <family val="2"/>
      </rPr>
      <t>x</t>
    </r>
  </si>
  <si>
    <r>
      <t>Weather Cond.</t>
    </r>
    <r>
      <rPr>
        <b/>
        <vertAlign val="superscript"/>
        <sz val="12"/>
        <rFont val="Arial"/>
        <family val="2"/>
      </rPr>
      <t>n</t>
    </r>
  </si>
  <si>
    <t>08--12</t>
  </si>
  <si>
    <t>12--16</t>
  </si>
  <si>
    <t>16--20</t>
  </si>
  <si>
    <t>20--24</t>
  </si>
  <si>
    <t>00-04</t>
  </si>
  <si>
    <t>04--08</t>
  </si>
  <si>
    <t xml:space="preserve"> Max</t>
  </si>
  <si>
    <t>Avg</t>
  </si>
  <si>
    <t>00--04</t>
  </si>
  <si>
    <t>Max</t>
  </si>
  <si>
    <t>Min</t>
  </si>
  <si>
    <t>NOTE:</t>
  </si>
  <si>
    <r>
      <t>ALL PARAMETERS ARE IN µg/m</t>
    </r>
    <r>
      <rPr>
        <vertAlign val="superscript"/>
        <sz val="10"/>
        <rFont val="Arial"/>
        <family val="2"/>
      </rPr>
      <t>3</t>
    </r>
  </si>
  <si>
    <t>Station Type : Residential</t>
  </si>
  <si>
    <t>RSPM</t>
  </si>
  <si>
    <t>8 hrs</t>
  </si>
  <si>
    <t>SPM</t>
  </si>
  <si>
    <r>
      <t>Weather Cond.</t>
    </r>
    <r>
      <rPr>
        <b/>
        <vertAlign val="superscript"/>
        <sz val="9"/>
        <rFont val="Arial"/>
        <family val="2"/>
      </rPr>
      <t>n</t>
    </r>
  </si>
  <si>
    <t>Remarks</t>
  </si>
  <si>
    <t>08--16</t>
  </si>
  <si>
    <t>16--24</t>
  </si>
  <si>
    <t>00-08</t>
  </si>
  <si>
    <t xml:space="preserve">Station Type :Residential </t>
  </si>
  <si>
    <r>
      <t>SO</t>
    </r>
    <r>
      <rPr>
        <b/>
        <vertAlign val="subscript"/>
        <sz val="11"/>
        <rFont val="Arial"/>
        <family val="2"/>
      </rPr>
      <t>2</t>
    </r>
  </si>
  <si>
    <t>Station type: Industrial.</t>
  </si>
  <si>
    <t>**</t>
  </si>
  <si>
    <t>Remark</t>
  </si>
  <si>
    <t>Name of the city : Sangli</t>
  </si>
  <si>
    <t>Sampling Point</t>
  </si>
  <si>
    <t>Month</t>
  </si>
  <si>
    <t>Year</t>
  </si>
  <si>
    <r>
      <t>SO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µg/m</t>
    </r>
    <r>
      <rPr>
        <b/>
        <vertAlign val="superscript"/>
        <sz val="10"/>
        <rFont val="Arial"/>
        <family val="2"/>
      </rPr>
      <t>3</t>
    </r>
  </si>
  <si>
    <r>
      <t>NO</t>
    </r>
    <r>
      <rPr>
        <b/>
        <vertAlign val="subscript"/>
        <sz val="10"/>
        <rFont val="Arial"/>
        <family val="2"/>
      </rPr>
      <t>x</t>
    </r>
    <r>
      <rPr>
        <b/>
        <sz val="10"/>
        <rFont val="Arial"/>
        <family val="2"/>
      </rPr>
      <t xml:space="preserve"> µg/m</t>
    </r>
    <r>
      <rPr>
        <b/>
        <vertAlign val="superscript"/>
        <sz val="10"/>
        <rFont val="Arial"/>
        <family val="2"/>
      </rPr>
      <t>3</t>
    </r>
  </si>
  <si>
    <r>
      <t>RSPM  µg/m</t>
    </r>
    <r>
      <rPr>
        <b/>
        <vertAlign val="superscript"/>
        <sz val="10"/>
        <rFont val="Arial"/>
        <family val="2"/>
      </rPr>
      <t>3</t>
    </r>
  </si>
  <si>
    <r>
      <t>SPM µg/m</t>
    </r>
    <r>
      <rPr>
        <b/>
        <vertAlign val="superscript"/>
        <sz val="10"/>
        <rFont val="Arial"/>
        <family val="2"/>
      </rPr>
      <t>3</t>
    </r>
  </si>
  <si>
    <t>AM</t>
  </si>
  <si>
    <t>SD</t>
  </si>
  <si>
    <t>P</t>
  </si>
  <si>
    <t>GM</t>
  </si>
  <si>
    <t>Udyoga Bhawan</t>
  </si>
  <si>
    <t>Kupwad</t>
  </si>
  <si>
    <t>Rajawada Chowk</t>
  </si>
  <si>
    <t>Note:</t>
  </si>
  <si>
    <r>
      <t>All parameters are in µg/m</t>
    </r>
    <r>
      <rPr>
        <b/>
        <vertAlign val="superscript"/>
        <sz val="10"/>
        <rFont val="Arial"/>
        <family val="2"/>
      </rPr>
      <t>3</t>
    </r>
  </si>
  <si>
    <t>No. of Samples collected in the Month</t>
  </si>
  <si>
    <t>Arithmatic Mean</t>
  </si>
  <si>
    <t xml:space="preserve">Standard Deviation </t>
  </si>
  <si>
    <t>Peak value of the month</t>
  </si>
  <si>
    <t>Geomatric Mean of Data</t>
  </si>
  <si>
    <t>Max.</t>
  </si>
  <si>
    <t>Min.</t>
  </si>
  <si>
    <t xml:space="preserve"> Max.</t>
  </si>
  <si>
    <t>Table B : Ambient Air Quality Data for RSPM and SPM under NAMP monitored by Walchand College of Engg., Sangli.</t>
  </si>
  <si>
    <t>Code No. :-574</t>
  </si>
  <si>
    <t>Code No. :- 574</t>
  </si>
  <si>
    <r>
      <t>Table A : Ambient Air Quality Data for SO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and NO</t>
    </r>
    <r>
      <rPr>
        <b/>
        <vertAlign val="subscript"/>
        <sz val="12"/>
        <rFont val="Arial"/>
        <family val="2"/>
      </rPr>
      <t>x</t>
    </r>
    <r>
      <rPr>
        <b/>
        <sz val="12"/>
        <rFont val="Arial"/>
        <family val="2"/>
      </rPr>
      <t xml:space="preserve"> under NAMP monitored by Walchand College of Engg,. Sangli.</t>
    </r>
  </si>
  <si>
    <t>Code No. :-576</t>
  </si>
  <si>
    <r>
      <t>Table A : Ambient Air Quality Data for SO</t>
    </r>
    <r>
      <rPr>
        <b/>
        <vertAlign val="subscript"/>
        <sz val="12"/>
        <rFont val="Arial"/>
        <family val="2"/>
      </rPr>
      <t xml:space="preserve">2 </t>
    </r>
    <r>
      <rPr>
        <b/>
        <sz val="12"/>
        <rFont val="Arial"/>
        <family val="2"/>
      </rPr>
      <t>and NO</t>
    </r>
    <r>
      <rPr>
        <b/>
        <vertAlign val="subscript"/>
        <sz val="12"/>
        <rFont val="Arial"/>
        <family val="2"/>
      </rPr>
      <t>x</t>
    </r>
    <r>
      <rPr>
        <b/>
        <sz val="12"/>
        <rFont val="Arial"/>
        <family val="2"/>
      </rPr>
      <t xml:space="preserve"> under NAMP monitored by  Walchand College of Engg., Sangli.</t>
    </r>
  </si>
  <si>
    <t>Code No. :-575</t>
  </si>
  <si>
    <t>TABLE C: Monthly Data Sheet for NAMP Project</t>
  </si>
  <si>
    <t>Sampling Location : Udyoga Bhawan, Sangli.</t>
  </si>
  <si>
    <t>Sampling Location :Terrace of Municipal School,Rajawada Chowk,Sangli.</t>
  </si>
  <si>
    <t>Sampling Location :Terrace of Municipal School, Rajawada Chowk,Sangli.</t>
  </si>
  <si>
    <t>City : Sangli.</t>
  </si>
  <si>
    <t>Sampling Location: Udyoga Bhawan, Sangli.</t>
  </si>
  <si>
    <t>Station Code</t>
  </si>
  <si>
    <t>SO2</t>
  </si>
  <si>
    <t>NOX</t>
  </si>
  <si>
    <t>Table B : Ambient Air Quality Data for RSPM and SPM under NAMP monitored by  Walchand College of Engg., Sangli.</t>
  </si>
  <si>
    <t>Station type:  commercial</t>
  </si>
  <si>
    <t>Station type: commercial</t>
  </si>
  <si>
    <t>00--08</t>
  </si>
  <si>
    <t>Sampling Location : Kupwad,Sangli.</t>
  </si>
  <si>
    <t>JANUARY</t>
  </si>
  <si>
    <t>Month: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</si>
</sst>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mm/dd/yy;@"/>
  </numFmts>
  <fonts count="29" x14ac:knownFonts="1">
    <font>
      <sz val="10"/>
      <name val="Arial"/>
    </font>
    <font>
      <b/>
      <sz val="12"/>
      <name val="Arial"/>
      <family val="2"/>
    </font>
    <font>
      <b/>
      <vertAlign val="subscript"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vertAlign val="superscript"/>
      <sz val="9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b/>
      <sz val="8"/>
      <name val="Arial"/>
      <family val="2"/>
    </font>
    <font>
      <b/>
      <vertAlign val="superscript"/>
      <sz val="9"/>
      <name val="Arial"/>
      <family val="2"/>
    </font>
    <font>
      <b/>
      <vertAlign val="subscript"/>
      <sz val="11"/>
      <name val="Arial"/>
      <family val="2"/>
    </font>
    <font>
      <sz val="12"/>
      <name val="Arial"/>
      <family val="2"/>
    </font>
    <font>
      <b/>
      <sz val="16"/>
      <name val="Times New Roman"/>
      <family val="1"/>
    </font>
    <font>
      <b/>
      <sz val="16"/>
      <name val="Arial"/>
      <family val="2"/>
    </font>
    <font>
      <sz val="16"/>
      <name val="Arial"/>
      <family val="2"/>
    </font>
    <font>
      <b/>
      <sz val="14"/>
      <name val="Times New Roman"/>
      <family val="1"/>
    </font>
    <font>
      <b/>
      <sz val="14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sz val="14"/>
      <name val="Arial"/>
      <family val="2"/>
    </font>
    <font>
      <sz val="12"/>
      <name val="Symbol"/>
      <family val="1"/>
      <charset val="2"/>
    </font>
    <font>
      <sz val="9"/>
      <color indexed="8"/>
      <name val="Arial"/>
      <family val="2"/>
    </font>
    <font>
      <b/>
      <sz val="12"/>
      <name val="Times New Roman"/>
      <family val="1"/>
    </font>
    <font>
      <sz val="11.5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64" fontId="0" fillId="0" borderId="0" xfId="0" applyNumberFormat="1" applyProtection="1">
      <protection locked="0" hidden="1"/>
    </xf>
    <xf numFmtId="0" fontId="3" fillId="0" borderId="0" xfId="0" applyFont="1" applyAlignment="1">
      <alignment horizontal="center"/>
    </xf>
    <xf numFmtId="164" fontId="0" fillId="0" borderId="0" xfId="0" applyNumberFormat="1"/>
    <xf numFmtId="164" fontId="3" fillId="0" borderId="0" xfId="0" applyNumberFormat="1" applyFont="1"/>
    <xf numFmtId="0" fontId="3" fillId="0" borderId="1" xfId="0" applyFont="1" applyBorder="1" applyAlignment="1">
      <alignment horizontal="center"/>
    </xf>
    <xf numFmtId="16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164" fontId="3" fillId="0" borderId="0" xfId="0" applyNumberFormat="1" applyFont="1" applyProtection="1">
      <protection locked="0" hidden="1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10" fillId="0" borderId="10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/>
    <xf numFmtId="0" fontId="0" fillId="0" borderId="0" xfId="0" applyAlignment="1">
      <alignment horizontal="left"/>
    </xf>
    <xf numFmtId="164" fontId="13" fillId="0" borderId="0" xfId="0" applyNumberFormat="1" applyFont="1" applyAlignment="1">
      <alignment horizontal="center"/>
    </xf>
    <xf numFmtId="0" fontId="3" fillId="0" borderId="12" xfId="0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0" xfId="0" applyNumberForma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0" xfId="0" applyFont="1"/>
    <xf numFmtId="0" fontId="16" fillId="0" borderId="0" xfId="0" applyFont="1"/>
    <xf numFmtId="0" fontId="3" fillId="0" borderId="0" xfId="0" applyFont="1" applyAlignment="1">
      <alignment horizontal="right"/>
    </xf>
    <xf numFmtId="1" fontId="10" fillId="0" borderId="13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3" xfId="0" applyBorder="1"/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/>
    <xf numFmtId="0" fontId="19" fillId="0" borderId="0" xfId="0" applyFont="1"/>
    <xf numFmtId="0" fontId="22" fillId="0" borderId="0" xfId="0" applyFont="1"/>
    <xf numFmtId="0" fontId="18" fillId="0" borderId="0" xfId="0" applyFont="1"/>
    <xf numFmtId="1" fontId="0" fillId="0" borderId="1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4" fillId="0" borderId="17" xfId="0" applyNumberFormat="1" applyFon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4" fillId="0" borderId="0" xfId="0" applyNumberFormat="1" applyFont="1"/>
    <xf numFmtId="0" fontId="9" fillId="0" borderId="0" xfId="0" applyFont="1"/>
    <xf numFmtId="16" fontId="9" fillId="0" borderId="12" xfId="0" applyNumberFormat="1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0" fontId="24" fillId="0" borderId="0" xfId="0" applyFont="1"/>
    <xf numFmtId="0" fontId="9" fillId="0" borderId="12" xfId="0" applyFon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65" fontId="10" fillId="0" borderId="10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9" xfId="0" applyBorder="1"/>
    <xf numFmtId="0" fontId="3" fillId="0" borderId="29" xfId="0" applyFont="1" applyBorder="1" applyAlignment="1">
      <alignment horizontal="center"/>
    </xf>
    <xf numFmtId="0" fontId="0" fillId="0" borderId="10" xfId="0" applyBorder="1"/>
    <xf numFmtId="0" fontId="3" fillId="0" borderId="8" xfId="0" applyFont="1" applyBorder="1"/>
    <xf numFmtId="0" fontId="0" fillId="0" borderId="12" xfId="0" applyBorder="1"/>
    <xf numFmtId="0" fontId="16" fillId="0" borderId="29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0" fillId="0" borderId="31" xfId="0" applyBorder="1"/>
    <xf numFmtId="0" fontId="0" fillId="0" borderId="32" xfId="0" applyBorder="1" applyAlignment="1">
      <alignment horizontal="center"/>
    </xf>
    <xf numFmtId="1" fontId="26" fillId="0" borderId="0" xfId="0" applyNumberFormat="1" applyFont="1" applyAlignment="1">
      <alignment horizontal="center"/>
    </xf>
    <xf numFmtId="0" fontId="0" fillId="2" borderId="0" xfId="0" applyFill="1"/>
    <xf numFmtId="0" fontId="1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" fontId="0" fillId="0" borderId="5" xfId="0" applyNumberForma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1" fontId="0" fillId="0" borderId="11" xfId="0" applyNumberFormat="1" applyBorder="1" applyAlignment="1">
      <alignment horizontal="center"/>
    </xf>
    <xf numFmtId="164" fontId="3" fillId="0" borderId="4" xfId="0" applyNumberFormat="1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31" xfId="0" applyFont="1" applyBorder="1"/>
    <xf numFmtId="1" fontId="4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1" fillId="0" borderId="29" xfId="0" applyFont="1" applyBorder="1"/>
    <xf numFmtId="0" fontId="0" fillId="3" borderId="0" xfId="0" applyFill="1"/>
    <xf numFmtId="0" fontId="9" fillId="0" borderId="0" xfId="0" applyFont="1" applyAlignment="1">
      <alignment horizontal="left"/>
    </xf>
    <xf numFmtId="165" fontId="10" fillId="0" borderId="11" xfId="0" applyNumberFormat="1" applyFont="1" applyBorder="1" applyAlignment="1">
      <alignment horizontal="center"/>
    </xf>
    <xf numFmtId="0" fontId="28" fillId="0" borderId="0" xfId="0" applyFont="1" applyAlignment="1">
      <alignment horizontal="center" vertical="top" wrapText="1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4" fillId="0" borderId="31" xfId="0" applyNumberFormat="1" applyFont="1" applyBorder="1" applyAlignment="1">
      <alignment horizontal="center"/>
    </xf>
    <xf numFmtId="1" fontId="4" fillId="0" borderId="32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" fontId="4" fillId="0" borderId="30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 vertical="center"/>
    </xf>
    <xf numFmtId="0" fontId="3" fillId="0" borderId="10" xfId="0" applyFont="1" applyBorder="1"/>
    <xf numFmtId="165" fontId="4" fillId="0" borderId="0" xfId="0" applyNumberFormat="1" applyFont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1" fontId="10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4" fillId="0" borderId="3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6" fontId="9" fillId="0" borderId="7" xfId="0" applyNumberFormat="1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16" fontId="9" fillId="0" borderId="31" xfId="0" applyNumberFormat="1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10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10" fillId="0" borderId="30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" fontId="10" fillId="0" borderId="13" xfId="0" applyNumberFormat="1" applyFont="1" applyBorder="1" applyAlignment="1">
      <alignment horizontal="center" wrapText="1"/>
    </xf>
    <xf numFmtId="1" fontId="10" fillId="0" borderId="32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wrapText="1"/>
    </xf>
    <xf numFmtId="0" fontId="9" fillId="0" borderId="32" xfId="0" applyFont="1" applyBorder="1" applyAlignment="1">
      <alignment horizontal="center"/>
    </xf>
    <xf numFmtId="16" fontId="9" fillId="0" borderId="32" xfId="0" applyNumberFormat="1" applyFont="1" applyBorder="1" applyAlignment="1">
      <alignment horizontal="center"/>
    </xf>
    <xf numFmtId="0" fontId="20" fillId="0" borderId="0" xfId="0" applyFont="1"/>
    <xf numFmtId="0" fontId="27" fillId="0" borderId="0" xfId="0" applyFont="1"/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6" xfId="0" applyBorder="1"/>
    <xf numFmtId="0" fontId="1" fillId="0" borderId="0" xfId="0" applyFont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0" fillId="0" borderId="41" xfId="0" applyBorder="1"/>
    <xf numFmtId="0" fontId="3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30" xfId="0" applyBorder="1"/>
    <xf numFmtId="0" fontId="9" fillId="0" borderId="4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0" fillId="0" borderId="29" xfId="0" applyBorder="1"/>
    <xf numFmtId="0" fontId="3" fillId="0" borderId="1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0" fillId="0" borderId="10" xfId="0" applyBorder="1"/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4" fillId="0" borderId="44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_Ai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Du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"/>
    </sheetNames>
    <sheetDataSet>
      <sheetData sheetId="0">
        <row r="4">
          <cell r="D4">
            <v>11.298245614035087</v>
          </cell>
          <cell r="I4">
            <v>14.12280701754386</v>
          </cell>
          <cell r="N4">
            <v>17.653508771929825</v>
          </cell>
          <cell r="U4">
            <v>31.230086794111184</v>
          </cell>
          <cell r="AA4">
            <v>60.340266453873653</v>
          </cell>
          <cell r="AG4">
            <v>57.588838838838846</v>
          </cell>
        </row>
        <row r="5">
          <cell r="D5">
            <v>10.861111111111111</v>
          </cell>
          <cell r="I5">
            <v>14.162037037037036</v>
          </cell>
          <cell r="N5">
            <v>10.733333333333333</v>
          </cell>
          <cell r="U5">
            <v>30.396903872513629</v>
          </cell>
          <cell r="AA5">
            <v>66.744335799213843</v>
          </cell>
          <cell r="AG5">
            <v>56.726254495830879</v>
          </cell>
        </row>
        <row r="6">
          <cell r="D6">
            <v>12.710526315789474</v>
          </cell>
          <cell r="I6">
            <v>14.907407407407407</v>
          </cell>
          <cell r="N6">
            <v>10.592105263157896</v>
          </cell>
          <cell r="U6">
            <v>37.933392314008486</v>
          </cell>
          <cell r="AA6">
            <v>68.270251959276351</v>
          </cell>
          <cell r="AG6">
            <v>56.825880758807585</v>
          </cell>
        </row>
        <row r="7">
          <cell r="D7">
            <v>14.162037037037036</v>
          </cell>
          <cell r="I7">
            <v>15.652777777777779</v>
          </cell>
          <cell r="N7">
            <v>10.435185185185185</v>
          </cell>
          <cell r="U7">
            <v>40.8246018804427</v>
          </cell>
          <cell r="AA7">
            <v>59.617464062265093</v>
          </cell>
          <cell r="AG7">
            <v>60.640671158963841</v>
          </cell>
        </row>
        <row r="8">
          <cell r="D8">
            <v>14.907407407407407</v>
          </cell>
          <cell r="I8">
            <v>10.435185185185185</v>
          </cell>
          <cell r="N8">
            <v>13.416666666666666</v>
          </cell>
          <cell r="U8">
            <v>40.803761078151325</v>
          </cell>
          <cell r="AA8">
            <v>57.449056887439426</v>
          </cell>
          <cell r="AG8">
            <v>61.785871237090745</v>
          </cell>
        </row>
        <row r="9">
          <cell r="D9">
            <v>10.435185185185185</v>
          </cell>
          <cell r="I9">
            <v>11.298245614035087</v>
          </cell>
          <cell r="N9">
            <v>14.12280701754386</v>
          </cell>
          <cell r="AA9">
            <v>69.736697544784832</v>
          </cell>
          <cell r="AG9">
            <v>58.351796918870086</v>
          </cell>
        </row>
        <row r="10">
          <cell r="D10">
            <v>9.5833333333333339</v>
          </cell>
          <cell r="I10">
            <v>13.416666666666666</v>
          </cell>
          <cell r="N10">
            <v>9.3916666666666675</v>
          </cell>
          <cell r="U10">
            <v>29.088975735317202</v>
          </cell>
          <cell r="AA10">
            <v>56.726254495830879</v>
          </cell>
          <cell r="AG10">
            <v>59.877713078932601</v>
          </cell>
        </row>
        <row r="11">
          <cell r="D11">
            <v>10.733333333333333</v>
          </cell>
          <cell r="I11">
            <v>14.162037037037036</v>
          </cell>
          <cell r="N11">
            <v>11.15701754385965</v>
          </cell>
          <cell r="U11">
            <v>31.70483200971006</v>
          </cell>
          <cell r="AA11">
            <v>53.835044929396659</v>
          </cell>
          <cell r="AG11">
            <v>57.449056887439426</v>
          </cell>
        </row>
        <row r="12">
          <cell r="D12">
            <v>9.8859649122807021</v>
          </cell>
          <cell r="I12">
            <v>15.652777777777779</v>
          </cell>
          <cell r="N12">
            <v>13.416666666666666</v>
          </cell>
          <cell r="U12">
            <v>68.291092761567739</v>
          </cell>
          <cell r="AA12">
            <v>65.981377719182589</v>
          </cell>
          <cell r="AG12">
            <v>64.45546155912011</v>
          </cell>
        </row>
        <row r="13">
          <cell r="D13">
            <v>11.925925925925926</v>
          </cell>
          <cell r="I13">
            <v>17.143518518518519</v>
          </cell>
          <cell r="N13">
            <v>16.241228070175438</v>
          </cell>
          <cell r="U13">
            <v>47.329823404919679</v>
          </cell>
          <cell r="AA13">
            <v>45.381509558338827</v>
          </cell>
          <cell r="AG13">
            <v>61.785871237090745</v>
          </cell>
        </row>
        <row r="14">
          <cell r="D14">
            <v>9.6898148148148149</v>
          </cell>
          <cell r="I14">
            <v>17.653508771929825</v>
          </cell>
          <cell r="N14">
            <v>14.828947368421053</v>
          </cell>
          <cell r="U14">
            <v>49.196299958495089</v>
          </cell>
          <cell r="AA14">
            <v>66.744335799213843</v>
          </cell>
          <cell r="AG14">
            <v>69.736697544784832</v>
          </cell>
        </row>
        <row r="15">
          <cell r="D15">
            <v>7.4537037037037033</v>
          </cell>
          <cell r="I15">
            <v>14.828947368421053</v>
          </cell>
          <cell r="N15">
            <v>17.143518518518519</v>
          </cell>
          <cell r="U15">
            <v>46.144467638370088</v>
          </cell>
          <cell r="AA15">
            <v>61.785871237090745</v>
          </cell>
          <cell r="AG15">
            <v>61.785871237090745</v>
          </cell>
        </row>
        <row r="16">
          <cell r="D16">
            <v>7.666666666666667</v>
          </cell>
          <cell r="I16">
            <v>14.907407407407407</v>
          </cell>
          <cell r="N16">
            <v>16.94736842105263</v>
          </cell>
          <cell r="U16">
            <v>50.015825930460075</v>
          </cell>
          <cell r="AA16">
            <v>38.65619470561704</v>
          </cell>
          <cell r="AG16">
            <v>67.568290369959172</v>
          </cell>
        </row>
        <row r="17">
          <cell r="D17">
            <v>9.3916666666666675</v>
          </cell>
          <cell r="I17">
            <v>11.298245614035087</v>
          </cell>
          <cell r="N17">
            <v>16.770833333333332</v>
          </cell>
          <cell r="U17">
            <v>51.323754067656516</v>
          </cell>
          <cell r="AA17">
            <v>43.855593398276326</v>
          </cell>
          <cell r="AG17">
            <v>70.459499936393399</v>
          </cell>
        </row>
        <row r="18">
          <cell r="D18">
            <v>10.0625</v>
          </cell>
          <cell r="I18">
            <v>11.180555555555555</v>
          </cell>
          <cell r="N18">
            <v>16.241228070175438</v>
          </cell>
          <cell r="U18">
            <v>48.707897793263648</v>
          </cell>
          <cell r="AA18">
            <v>37.933392314008486</v>
          </cell>
          <cell r="AG18">
            <v>62.508673628699299</v>
          </cell>
        </row>
        <row r="19">
          <cell r="D19">
            <v>9.6898148148148149</v>
          </cell>
          <cell r="I19">
            <v>10.592105263157896</v>
          </cell>
          <cell r="N19">
            <v>15.652777777777779</v>
          </cell>
          <cell r="U19">
            <v>52.389440146179552</v>
          </cell>
          <cell r="AA19">
            <v>46.607021013311133</v>
          </cell>
          <cell r="AG19">
            <v>59.877713078932601</v>
          </cell>
        </row>
        <row r="20">
          <cell r="D20">
            <v>11.180555555555555</v>
          </cell>
          <cell r="I20">
            <v>10.435185185185185</v>
          </cell>
          <cell r="N20">
            <v>18.63425925925926</v>
          </cell>
          <cell r="U20">
            <v>56.062922678776339</v>
          </cell>
          <cell r="AA20">
            <v>63.692503479088849</v>
          </cell>
          <cell r="AG20">
            <v>67.507293879245097</v>
          </cell>
        </row>
        <row r="21">
          <cell r="D21">
            <v>10.435185185185185</v>
          </cell>
          <cell r="I21">
            <v>12.671296296296296</v>
          </cell>
          <cell r="N21">
            <v>14.907407407407407</v>
          </cell>
          <cell r="U21">
            <v>57.588838838838846</v>
          </cell>
          <cell r="AA21">
            <v>61.403629238995094</v>
          </cell>
          <cell r="AG21">
            <v>65.21841963915135</v>
          </cell>
        </row>
        <row r="22">
          <cell r="D22">
            <v>11.298245614035087</v>
          </cell>
          <cell r="I22">
            <v>11.298245614035087</v>
          </cell>
          <cell r="N22">
            <v>14.828947368421053</v>
          </cell>
          <cell r="U22">
            <v>53.889941771039339</v>
          </cell>
          <cell r="AA22">
            <v>72.627907111219059</v>
          </cell>
          <cell r="AG22">
            <v>62.508673628699299</v>
          </cell>
        </row>
        <row r="23">
          <cell r="D23">
            <v>9.8859649122807021</v>
          </cell>
          <cell r="I23">
            <v>7.4537037037037033</v>
          </cell>
          <cell r="N23">
            <v>12.074999999999999</v>
          </cell>
          <cell r="U23">
            <v>53.835044929396659</v>
          </cell>
          <cell r="AA23">
            <v>59.617464062265093</v>
          </cell>
          <cell r="AG23">
            <v>64.45546155912011</v>
          </cell>
        </row>
        <row r="24">
          <cell r="D24">
            <v>12.004385964912281</v>
          </cell>
          <cell r="I24">
            <v>17.143518518518519</v>
          </cell>
          <cell r="N24">
            <v>13.416666666666666</v>
          </cell>
          <cell r="U24">
            <v>55.299964598745085</v>
          </cell>
          <cell r="AA24">
            <v>57.449056887439426</v>
          </cell>
          <cell r="AG24">
            <v>64.677080803524973</v>
          </cell>
        </row>
        <row r="25">
          <cell r="D25">
            <v>12.710526315789474</v>
          </cell>
          <cell r="I25">
            <v>15.652777777777779</v>
          </cell>
          <cell r="N25">
            <v>12.671296296296296</v>
          </cell>
          <cell r="U25">
            <v>50.94383536296246</v>
          </cell>
          <cell r="AA25">
            <v>67.568290369959172</v>
          </cell>
          <cell r="AG25">
            <v>74.373916599526368</v>
          </cell>
        </row>
        <row r="26">
          <cell r="D26">
            <v>12.710526315789474</v>
          </cell>
          <cell r="I26">
            <v>18.63425925925926</v>
          </cell>
          <cell r="N26">
            <v>11.925925925925926</v>
          </cell>
          <cell r="U26">
            <v>38.65619470561704</v>
          </cell>
          <cell r="AA26">
            <v>61.785871237090745</v>
          </cell>
          <cell r="AG26">
            <v>69.033210039307605</v>
          </cell>
        </row>
        <row r="27">
          <cell r="D27">
            <v>11.298245614035087</v>
          </cell>
          <cell r="I27">
            <v>14.907407407407407</v>
          </cell>
          <cell r="N27">
            <v>9.6898148148148149</v>
          </cell>
          <cell r="U27">
            <v>38.65619470561704</v>
          </cell>
          <cell r="AA27">
            <v>62.508673628699299</v>
          </cell>
          <cell r="AG27">
            <v>66.122685586742065</v>
          </cell>
        </row>
        <row r="28">
          <cell r="D28">
            <v>9.8859649122807021</v>
          </cell>
          <cell r="I28">
            <v>14.828947368421053</v>
          </cell>
          <cell r="N28">
            <v>9.8859649122807021</v>
          </cell>
          <cell r="U28">
            <v>60.756564491320603</v>
          </cell>
          <cell r="AA28">
            <v>54.557847321005219</v>
          </cell>
          <cell r="AG28">
            <v>71.182302328001953</v>
          </cell>
        </row>
        <row r="29">
          <cell r="D29">
            <v>10.592105263157896</v>
          </cell>
          <cell r="I29">
            <v>15.535087719298245</v>
          </cell>
          <cell r="N29">
            <v>12.074999999999999</v>
          </cell>
          <cell r="U29">
            <v>60.069902219292466</v>
          </cell>
          <cell r="AA29">
            <v>53.835044929396659</v>
          </cell>
          <cell r="AG29">
            <v>69.736697544784832</v>
          </cell>
        </row>
        <row r="30">
          <cell r="D30">
            <v>12.004385964912281</v>
          </cell>
          <cell r="I30">
            <v>14.828947368421053</v>
          </cell>
          <cell r="N30">
            <v>14.12280701754386</v>
          </cell>
          <cell r="U30">
            <v>63.503213579433087</v>
          </cell>
          <cell r="AA30">
            <v>56.726254495830879</v>
          </cell>
          <cell r="AG30">
            <v>84.292371639932625</v>
          </cell>
        </row>
        <row r="31">
          <cell r="D31">
            <v>12.710526315789474</v>
          </cell>
          <cell r="I31">
            <v>12.710526315789474</v>
          </cell>
          <cell r="N31">
            <v>13.416666666666666</v>
          </cell>
          <cell r="U31">
            <v>67.568290369959172</v>
          </cell>
          <cell r="AA31">
            <v>47.329823404919679</v>
          </cell>
          <cell r="AG31">
            <v>78.188706999682609</v>
          </cell>
        </row>
        <row r="32">
          <cell r="D32">
            <v>11.298245614035087</v>
          </cell>
          <cell r="I32">
            <v>13.416666666666666</v>
          </cell>
          <cell r="N32">
            <v>16.398148148148149</v>
          </cell>
          <cell r="U32">
            <v>67.507293879245097</v>
          </cell>
          <cell r="AA32">
            <v>59.617464062265093</v>
          </cell>
          <cell r="AG32">
            <v>78.951665079713848</v>
          </cell>
        </row>
        <row r="33">
          <cell r="D33">
            <v>12.671296296296296</v>
          </cell>
          <cell r="I33">
            <v>12.004385964912281</v>
          </cell>
          <cell r="N33">
            <v>14.12280701754386</v>
          </cell>
          <cell r="U33">
            <v>64.45546155912011</v>
          </cell>
          <cell r="AA33">
            <v>60.340266453873653</v>
          </cell>
          <cell r="AG33">
            <v>64.677080803524973</v>
          </cell>
        </row>
        <row r="34">
          <cell r="D34">
            <v>7.666666666666667</v>
          </cell>
          <cell r="I34">
            <v>14.907407407407407</v>
          </cell>
          <cell r="N34">
            <v>10.592105263157896</v>
          </cell>
          <cell r="U34">
            <v>50.015825930460075</v>
          </cell>
          <cell r="AA34">
            <v>63.95427841191642</v>
          </cell>
          <cell r="AG34">
            <v>61.063068845482206</v>
          </cell>
        </row>
        <row r="35">
          <cell r="D35">
            <v>10.222222222222221</v>
          </cell>
          <cell r="I35">
            <v>13.416666666666666</v>
          </cell>
          <cell r="N35">
            <v>9.1798245614035086</v>
          </cell>
          <cell r="U35">
            <v>58.696577675236213</v>
          </cell>
          <cell r="AA35">
            <v>62.508673628699299</v>
          </cell>
          <cell r="AG35">
            <v>66.744335799213843</v>
          </cell>
        </row>
        <row r="36">
          <cell r="D36">
            <v>10.592105263157896</v>
          </cell>
          <cell r="I36">
            <v>12.671296296296296</v>
          </cell>
          <cell r="N36">
            <v>9.3916666666666675</v>
          </cell>
          <cell r="U36">
            <v>56.726254495830879</v>
          </cell>
          <cell r="AA36">
            <v>61.785871237090745</v>
          </cell>
          <cell r="AG36">
            <v>59.617464062265093</v>
          </cell>
        </row>
        <row r="37">
          <cell r="D37">
            <v>10.435185185185185</v>
          </cell>
          <cell r="I37">
            <v>12.710526315789474</v>
          </cell>
          <cell r="N37">
            <v>11.298245614035087</v>
          </cell>
          <cell r="U37">
            <v>53.011090358651344</v>
          </cell>
          <cell r="AA37">
            <v>66.122685586742065</v>
          </cell>
          <cell r="AG37">
            <v>60.640671158963841</v>
          </cell>
        </row>
        <row r="38">
          <cell r="I38">
            <v>11.298245614035087</v>
          </cell>
          <cell r="N38">
            <v>10.592105263157896</v>
          </cell>
          <cell r="U38">
            <v>62.508673628699299</v>
          </cell>
          <cell r="AA38">
            <v>81.301535810521699</v>
          </cell>
          <cell r="AG38">
            <v>79.71462315974513</v>
          </cell>
        </row>
        <row r="39">
          <cell r="D39">
            <v>11.180555555555555</v>
          </cell>
          <cell r="I39">
            <v>12.004385964912281</v>
          </cell>
          <cell r="N39">
            <v>9.3916666666666675</v>
          </cell>
          <cell r="U39">
            <v>50.722216118557597</v>
          </cell>
          <cell r="AA39">
            <v>82.747140593738791</v>
          </cell>
          <cell r="AG39">
            <v>76.964721460870365</v>
          </cell>
        </row>
        <row r="40">
          <cell r="D40">
            <v>10.861111111111111</v>
          </cell>
          <cell r="I40">
            <v>10.435185185185185</v>
          </cell>
          <cell r="N40">
            <v>13.416666666666666</v>
          </cell>
          <cell r="U40">
            <v>45.64999450670183</v>
          </cell>
          <cell r="AA40">
            <v>59.877713078932601</v>
          </cell>
          <cell r="AG40">
            <v>65.21841963915135</v>
          </cell>
        </row>
        <row r="41">
          <cell r="D41">
            <v>12.710526315789474</v>
          </cell>
          <cell r="I41">
            <v>9.1798245614035086</v>
          </cell>
          <cell r="N41">
            <v>13.416666666666666</v>
          </cell>
          <cell r="U41">
            <v>41.514293038683292</v>
          </cell>
          <cell r="AA41">
            <v>57.449056887439426</v>
          </cell>
          <cell r="AG41">
            <v>81.301535810521699</v>
          </cell>
        </row>
        <row r="42">
          <cell r="D42">
            <v>12.745833333333334</v>
          </cell>
          <cell r="I42">
            <v>10.592105263157896</v>
          </cell>
          <cell r="N42">
            <v>17.143518518518519</v>
          </cell>
          <cell r="U42">
            <v>48.775428188136793</v>
          </cell>
          <cell r="AA42">
            <v>61.785871237090745</v>
          </cell>
          <cell r="AG42">
            <v>63.231476020307845</v>
          </cell>
        </row>
        <row r="43">
          <cell r="D43">
            <v>11.925925925925926</v>
          </cell>
          <cell r="I43">
            <v>10.435185185185185</v>
          </cell>
          <cell r="N43">
            <v>16.94736842105263</v>
          </cell>
          <cell r="U43">
            <v>50.94383536296246</v>
          </cell>
          <cell r="AA43">
            <v>69.796168119338859</v>
          </cell>
          <cell r="AG43">
            <v>64.677080803524973</v>
          </cell>
        </row>
        <row r="44">
          <cell r="D44">
            <v>12.671296296296296</v>
          </cell>
          <cell r="I44">
            <v>11.925925925925926</v>
          </cell>
          <cell r="N44">
            <v>15.535087719298245</v>
          </cell>
          <cell r="U44">
            <v>42.270206663659813</v>
          </cell>
          <cell r="AA44">
            <v>61.403629238995094</v>
          </cell>
          <cell r="AG44">
            <v>74.073511894436152</v>
          </cell>
        </row>
        <row r="45">
          <cell r="D45">
            <v>11.180555555555555</v>
          </cell>
          <cell r="I45">
            <v>9.1798245614035086</v>
          </cell>
          <cell r="N45">
            <v>14.907407407407407</v>
          </cell>
          <cell r="U45">
            <v>42.993009055268359</v>
          </cell>
          <cell r="AA45">
            <v>62.508673628699299</v>
          </cell>
          <cell r="AG45">
            <v>85.055329719963879</v>
          </cell>
        </row>
        <row r="46">
          <cell r="D46">
            <v>10.222222222222221</v>
          </cell>
          <cell r="I46">
            <v>11.925925925925926</v>
          </cell>
          <cell r="N46">
            <v>13.416666666666666</v>
          </cell>
          <cell r="U46">
            <v>38.783371786420567</v>
          </cell>
          <cell r="AA46">
            <v>58.894661670656546</v>
          </cell>
          <cell r="AG46">
            <v>65.399883195133512</v>
          </cell>
        </row>
        <row r="47">
          <cell r="D47">
            <v>8.3055555555555554</v>
          </cell>
          <cell r="I47">
            <v>10.592105263157896</v>
          </cell>
          <cell r="N47">
            <v>12.074999999999999</v>
          </cell>
          <cell r="U47">
            <v>40.156696330476827</v>
          </cell>
          <cell r="AA47">
            <v>57.449056887439426</v>
          </cell>
          <cell r="AG47">
            <v>63.231476020307845</v>
          </cell>
        </row>
        <row r="48">
          <cell r="D48">
            <v>8.9444444444444446</v>
          </cell>
          <cell r="I48">
            <v>9.8859649122807021</v>
          </cell>
          <cell r="N48">
            <v>11.404166666666667</v>
          </cell>
          <cell r="U48">
            <v>43.71581144687692</v>
          </cell>
          <cell r="AA48">
            <v>54.557847321005219</v>
          </cell>
          <cell r="AG48">
            <v>54.557847321005219</v>
          </cell>
        </row>
        <row r="49">
          <cell r="D49">
            <v>10.435185185185185</v>
          </cell>
          <cell r="I49">
            <v>13.416666666666666</v>
          </cell>
          <cell r="N49">
            <v>10.733333333333333</v>
          </cell>
          <cell r="U49">
            <v>44.438613838485473</v>
          </cell>
          <cell r="AA49">
            <v>59.877713078932601</v>
          </cell>
          <cell r="AG49">
            <v>57.449056887439426</v>
          </cell>
        </row>
        <row r="50">
          <cell r="D50">
            <v>11.180555555555555</v>
          </cell>
          <cell r="I50">
            <v>9.1798245614035086</v>
          </cell>
          <cell r="N50">
            <v>12.074999999999999</v>
          </cell>
          <cell r="U50">
            <v>48.433341878463835</v>
          </cell>
          <cell r="AA50">
            <v>59.617464062265093</v>
          </cell>
          <cell r="AG50">
            <v>58.171859279047986</v>
          </cell>
        </row>
        <row r="51">
          <cell r="D51">
            <v>9.6898148148148149</v>
          </cell>
          <cell r="I51">
            <v>9.8859649122807021</v>
          </cell>
          <cell r="N51">
            <v>14.12280701754386</v>
          </cell>
          <cell r="U51">
            <v>48.775428188136793</v>
          </cell>
          <cell r="AA51">
            <v>62.508673628699299</v>
          </cell>
          <cell r="AG51">
            <v>60.340266453873653</v>
          </cell>
        </row>
        <row r="52">
          <cell r="I52">
            <v>10.592105263157896</v>
          </cell>
          <cell r="N52">
            <v>10.733333333333333</v>
          </cell>
          <cell r="AA52">
            <v>58.171859279047986</v>
          </cell>
          <cell r="AG52">
            <v>42.270206663659813</v>
          </cell>
        </row>
        <row r="53">
          <cell r="I53">
            <v>11.298245614035087</v>
          </cell>
          <cell r="N53">
            <v>12.710526315789474</v>
          </cell>
          <cell r="AA53">
            <v>57.449056887439426</v>
          </cell>
          <cell r="AG53">
            <v>47.670383798432582</v>
          </cell>
        </row>
        <row r="54">
          <cell r="I54">
            <v>14.12280701754386</v>
          </cell>
          <cell r="N54">
            <v>13.416666666666666</v>
          </cell>
          <cell r="AA54">
            <v>62.508673628699299</v>
          </cell>
          <cell r="AG54">
            <v>48.775428188136793</v>
          </cell>
        </row>
        <row r="55">
          <cell r="I55">
            <v>9.8859649122807021</v>
          </cell>
          <cell r="N55">
            <v>12.710526315789474</v>
          </cell>
          <cell r="AA55">
            <v>73.610958519495099</v>
          </cell>
          <cell r="AG55">
            <v>56.825880758807585</v>
          </cell>
        </row>
        <row r="56">
          <cell r="I56">
            <v>16.241228070175438</v>
          </cell>
          <cell r="N56">
            <v>12.004385964912281</v>
          </cell>
          <cell r="AA56">
            <v>63.95427841191642</v>
          </cell>
          <cell r="AG56">
            <v>55.299964598745085</v>
          </cell>
        </row>
        <row r="57">
          <cell r="I57">
            <v>14.828947368421053</v>
          </cell>
          <cell r="N57">
            <v>13.416666666666666</v>
          </cell>
          <cell r="AA57">
            <v>58.894661670656546</v>
          </cell>
          <cell r="AG57">
            <v>53.835044929396659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M &amp; RSPM"/>
      <sheetName val="rspm"/>
      <sheetName val="Sheet1"/>
      <sheetName val="Sheet2"/>
    </sheetNames>
    <sheetDataSet>
      <sheetData sheetId="0">
        <row r="7">
          <cell r="S7">
            <v>120.37037037037022</v>
          </cell>
          <cell r="T7">
            <v>320.53872053872044</v>
          </cell>
        </row>
        <row r="8">
          <cell r="S8">
            <v>116.00968188105105</v>
          </cell>
          <cell r="T8">
            <v>193.29183955739973</v>
          </cell>
        </row>
        <row r="9">
          <cell r="S9">
            <v>158.41750841750857</v>
          </cell>
          <cell r="T9">
            <v>335.52188552188568</v>
          </cell>
        </row>
        <row r="10">
          <cell r="S10">
            <v>145.91977869986172</v>
          </cell>
          <cell r="T10">
            <v>177.73167358229617</v>
          </cell>
        </row>
        <row r="11">
          <cell r="S11">
            <v>145.61766735679706</v>
          </cell>
          <cell r="T11">
            <v>275.01725327812221</v>
          </cell>
        </row>
        <row r="12">
          <cell r="S12">
            <v>201.82555780933095</v>
          </cell>
          <cell r="T12">
            <v>392.49492900608556</v>
          </cell>
        </row>
        <row r="13">
          <cell r="S13">
            <v>28.219696969696805</v>
          </cell>
          <cell r="T13">
            <v>276.13636363636351</v>
          </cell>
        </row>
        <row r="14">
          <cell r="S14">
            <v>146.25850340136037</v>
          </cell>
          <cell r="T14">
            <v>217.87603930461043</v>
          </cell>
        </row>
        <row r="15">
          <cell r="S15">
            <v>149.05303030303028</v>
          </cell>
          <cell r="T15">
            <v>263.44696969696969</v>
          </cell>
        </row>
        <row r="16">
          <cell r="S16">
            <v>130.92818428184304</v>
          </cell>
          <cell r="T16">
            <v>316.05691056910587</v>
          </cell>
        </row>
        <row r="17">
          <cell r="S17">
            <v>53.353658536585137</v>
          </cell>
          <cell r="T17">
            <v>139.56639566395631</v>
          </cell>
        </row>
        <row r="18">
          <cell r="S18">
            <v>81.144781144781192</v>
          </cell>
          <cell r="T18">
            <v>213.29966329966339</v>
          </cell>
        </row>
        <row r="19">
          <cell r="S19">
            <v>132.28319783197841</v>
          </cell>
          <cell r="T19">
            <v>372.96747967479689</v>
          </cell>
        </row>
        <row r="20">
          <cell r="S20">
            <v>142.95392953929544</v>
          </cell>
          <cell r="T20">
            <v>153.62466124661248</v>
          </cell>
        </row>
        <row r="21">
          <cell r="S21">
            <v>49.07024793388387</v>
          </cell>
          <cell r="T21">
            <v>151.85950413223094</v>
          </cell>
        </row>
        <row r="22">
          <cell r="S22">
            <v>140.95345345345331</v>
          </cell>
          <cell r="T22">
            <v>241.36636636636618</v>
          </cell>
        </row>
        <row r="23">
          <cell r="S23">
            <v>115.9090909090916</v>
          </cell>
          <cell r="T23">
            <v>184.46969696969768</v>
          </cell>
        </row>
        <row r="24">
          <cell r="S24">
            <v>140.09111617312044</v>
          </cell>
          <cell r="T24">
            <v>173.12072892938463</v>
          </cell>
        </row>
        <row r="25">
          <cell r="S25">
            <v>113.31300813008123</v>
          </cell>
          <cell r="T25">
            <v>303.18428184281851</v>
          </cell>
        </row>
        <row r="26">
          <cell r="S26">
            <v>159.09090909090915</v>
          </cell>
          <cell r="T26">
            <v>280.47520661157012</v>
          </cell>
        </row>
        <row r="27">
          <cell r="S27">
            <v>62.244897959183611</v>
          </cell>
          <cell r="T27">
            <v>163.26530612244892</v>
          </cell>
        </row>
        <row r="28">
          <cell r="S28">
            <v>91.065292096220574</v>
          </cell>
          <cell r="T28">
            <v>204.29553264604868</v>
          </cell>
        </row>
        <row r="29">
          <cell r="S29">
            <v>82.651670074983329</v>
          </cell>
          <cell r="T29">
            <v>523.68779822767601</v>
          </cell>
        </row>
        <row r="30">
          <cell r="S30">
            <v>141.50606709493209</v>
          </cell>
          <cell r="T30">
            <v>299.07209136331193</v>
          </cell>
        </row>
        <row r="31">
          <cell r="S31">
            <v>142.42424242424272</v>
          </cell>
          <cell r="T31">
            <v>320.26515151515179</v>
          </cell>
        </row>
        <row r="32">
          <cell r="S32">
            <v>134.96583143507959</v>
          </cell>
          <cell r="T32">
            <v>172.55125284738014</v>
          </cell>
        </row>
        <row r="33">
          <cell r="S33">
            <v>133.02752293578041</v>
          </cell>
          <cell r="T33">
            <v>180.04587155963375</v>
          </cell>
        </row>
        <row r="34">
          <cell r="S34">
            <v>121.27512127512176</v>
          </cell>
          <cell r="T34">
            <v>270.79002079002134</v>
          </cell>
        </row>
        <row r="35">
          <cell r="S35">
            <v>144.93497604380522</v>
          </cell>
          <cell r="T35">
            <v>431.38261464750133</v>
          </cell>
        </row>
        <row r="36">
          <cell r="S36">
            <v>187.37373737373733</v>
          </cell>
          <cell r="T36">
            <v>319.86531986531975</v>
          </cell>
        </row>
        <row r="37">
          <cell r="S37">
            <v>113.52401129943469</v>
          </cell>
          <cell r="T37">
            <v>145.83333333333297</v>
          </cell>
        </row>
        <row r="38">
          <cell r="S38">
            <v>109.63114754098366</v>
          </cell>
          <cell r="T38">
            <v>307.88934426229508</v>
          </cell>
        </row>
        <row r="39">
          <cell r="S39">
            <v>168.97163120567367</v>
          </cell>
          <cell r="T39">
            <v>194.14893617021266</v>
          </cell>
        </row>
        <row r="40">
          <cell r="S40">
            <v>161.28433556050476</v>
          </cell>
          <cell r="T40">
            <v>219.74758723088351</v>
          </cell>
        </row>
        <row r="41">
          <cell r="S41">
            <v>110.48265460030206</v>
          </cell>
          <cell r="T41">
            <v>168.36349924585269</v>
          </cell>
        </row>
        <row r="42">
          <cell r="S42">
            <v>111.42748671222468</v>
          </cell>
          <cell r="T42">
            <v>154.13819286256629</v>
          </cell>
        </row>
        <row r="43">
          <cell r="S43">
            <v>172.38562091503292</v>
          </cell>
          <cell r="T43">
            <v>247.8758169934643</v>
          </cell>
        </row>
        <row r="44">
          <cell r="S44">
            <v>124.91228070175467</v>
          </cell>
          <cell r="T44">
            <v>180.17543859649166</v>
          </cell>
        </row>
        <row r="45">
          <cell r="S45">
            <v>165.95441595441588</v>
          </cell>
          <cell r="T45">
            <v>276.53133903133903</v>
          </cell>
        </row>
        <row r="46">
          <cell r="S46">
            <v>137.56063756063702</v>
          </cell>
          <cell r="T46">
            <v>334.71933471933414</v>
          </cell>
        </row>
        <row r="47">
          <cell r="S47">
            <v>110.46918767506993</v>
          </cell>
          <cell r="T47">
            <v>360.64425770308122</v>
          </cell>
        </row>
        <row r="48">
          <cell r="S48">
            <v>250.41666666666686</v>
          </cell>
          <cell r="T48">
            <v>398.95833333333337</v>
          </cell>
        </row>
        <row r="49">
          <cell r="S49">
            <v>119.04761904761914</v>
          </cell>
          <cell r="T49">
            <v>355.28273809523819</v>
          </cell>
        </row>
        <row r="50">
          <cell r="S50">
            <v>109.18898809523805</v>
          </cell>
          <cell r="T50">
            <v>198.47470238095218</v>
          </cell>
        </row>
        <row r="51">
          <cell r="S51">
            <v>99.75282485875745</v>
          </cell>
          <cell r="T51">
            <v>138.94774011299472</v>
          </cell>
        </row>
        <row r="52">
          <cell r="S52">
            <v>143.4397163120571</v>
          </cell>
          <cell r="T52">
            <v>321.45390070922031</v>
          </cell>
        </row>
        <row r="53">
          <cell r="S53">
            <v>132.57575757575782</v>
          </cell>
          <cell r="T53">
            <v>268.03751803751823</v>
          </cell>
        </row>
        <row r="54">
          <cell r="S54">
            <v>139.1242937853111</v>
          </cell>
          <cell r="T54">
            <v>224.75282485875741</v>
          </cell>
        </row>
        <row r="55">
          <cell r="S55">
            <v>155.54378531073499</v>
          </cell>
          <cell r="T55">
            <v>200.56497175141288</v>
          </cell>
        </row>
        <row r="56">
          <cell r="S56">
            <v>87.284482758620655</v>
          </cell>
          <cell r="T56">
            <v>267.42097701149424</v>
          </cell>
        </row>
        <row r="57">
          <cell r="S57">
            <v>190.14830508474643</v>
          </cell>
          <cell r="T57">
            <v>482.16807909604603</v>
          </cell>
        </row>
        <row r="58">
          <cell r="S58">
            <v>104.49146250928031</v>
          </cell>
          <cell r="T58">
            <v>242.76169265033451</v>
          </cell>
        </row>
        <row r="59">
          <cell r="S59">
            <v>99.547511312217125</v>
          </cell>
          <cell r="T59">
            <v>241.13876319758657</v>
          </cell>
        </row>
        <row r="60">
          <cell r="S60">
            <v>162.53443526170844</v>
          </cell>
          <cell r="T60">
            <v>232.09366391184625</v>
          </cell>
        </row>
        <row r="61">
          <cell r="S61">
            <v>110.53361053361068</v>
          </cell>
          <cell r="T61">
            <v>283.61053361053388</v>
          </cell>
        </row>
        <row r="62">
          <cell r="S62">
            <v>99.686847599165162</v>
          </cell>
          <cell r="T62">
            <v>199.025748086291</v>
          </cell>
        </row>
        <row r="63">
          <cell r="S63">
            <v>184.46269678302551</v>
          </cell>
          <cell r="T63">
            <v>282.51197809719395</v>
          </cell>
        </row>
        <row r="64">
          <cell r="S64">
            <v>108.65191146881283</v>
          </cell>
          <cell r="T64">
            <v>275.98926894701538</v>
          </cell>
        </row>
        <row r="65">
          <cell r="S65">
            <v>99.164926931106379</v>
          </cell>
          <cell r="T65">
            <v>102.47042449547662</v>
          </cell>
        </row>
        <row r="66">
          <cell r="S66">
            <v>167.02052370842227</v>
          </cell>
          <cell r="T66">
            <v>208.5987261146503</v>
          </cell>
        </row>
        <row r="67">
          <cell r="S67">
            <v>91.463414634146531</v>
          </cell>
          <cell r="T67">
            <v>203.2520325203254</v>
          </cell>
        </row>
        <row r="68">
          <cell r="S68">
            <v>113.17567567567609</v>
          </cell>
          <cell r="T68">
            <v>240.24024024024055</v>
          </cell>
        </row>
        <row r="69">
          <cell r="S69">
            <v>126.04403948367462</v>
          </cell>
          <cell r="T69">
            <v>160.21260440394801</v>
          </cell>
        </row>
        <row r="70">
          <cell r="S70">
            <v>82.276250880901983</v>
          </cell>
          <cell r="T70">
            <v>154.68639887244538</v>
          </cell>
        </row>
        <row r="71">
          <cell r="S71">
            <v>107.14285714285742</v>
          </cell>
          <cell r="T71">
            <v>277.21088435374185</v>
          </cell>
        </row>
        <row r="72">
          <cell r="S72">
            <v>89.057239057239357</v>
          </cell>
          <cell r="T72">
            <v>302.86195286195323</v>
          </cell>
        </row>
        <row r="73">
          <cell r="S73">
            <v>104.20841683366771</v>
          </cell>
          <cell r="T73">
            <v>184.03473613894494</v>
          </cell>
        </row>
        <row r="74">
          <cell r="S74">
            <v>85.22336769759427</v>
          </cell>
          <cell r="T74">
            <v>186.25429553264593</v>
          </cell>
        </row>
        <row r="75">
          <cell r="S75">
            <v>115.30612244897974</v>
          </cell>
          <cell r="T75">
            <v>250.68027210884372</v>
          </cell>
        </row>
        <row r="76">
          <cell r="S76">
            <v>93.939393939393682</v>
          </cell>
          <cell r="T76">
            <v>360.79545454545428</v>
          </cell>
        </row>
        <row r="77">
          <cell r="S77">
            <v>109.98498498498451</v>
          </cell>
          <cell r="T77">
            <v>243.99399399399351</v>
          </cell>
        </row>
        <row r="78">
          <cell r="S78">
            <v>148.98419864559852</v>
          </cell>
          <cell r="T78">
            <v>205.04138449962409</v>
          </cell>
        </row>
        <row r="82">
          <cell r="S82">
            <v>83.521021021021397</v>
          </cell>
          <cell r="T82">
            <v>166.47897897897937</v>
          </cell>
        </row>
        <row r="83">
          <cell r="S83">
            <v>102.92022792022767</v>
          </cell>
          <cell r="T83">
            <v>128.73931623931591</v>
          </cell>
        </row>
        <row r="84">
          <cell r="S84">
            <v>125.60890744606827</v>
          </cell>
          <cell r="T84">
            <v>302.01809324982611</v>
          </cell>
        </row>
        <row r="85">
          <cell r="S85">
            <v>79.545454545454191</v>
          </cell>
          <cell r="T85">
            <v>202.6515151515149</v>
          </cell>
        </row>
        <row r="86">
          <cell r="S86">
            <v>94.6969696969702</v>
          </cell>
          <cell r="T86">
            <v>119.12878787878843</v>
          </cell>
        </row>
        <row r="87">
          <cell r="S87">
            <v>123.51190476190519</v>
          </cell>
          <cell r="T87">
            <v>344.86607142857184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77"/>
  <sheetViews>
    <sheetView tabSelected="1" zoomScale="99" zoomScaleNormal="99" workbookViewId="0">
      <selection activeCell="W16" sqref="W16"/>
    </sheetView>
  </sheetViews>
  <sheetFormatPr defaultRowHeight="12.75" x14ac:dyDescent="0.2"/>
  <cols>
    <col min="1" max="1" width="5.7109375" customWidth="1"/>
    <col min="2" max="2" width="12.140625" customWidth="1"/>
    <col min="3" max="3" width="7.42578125" customWidth="1"/>
    <col min="4" max="4" width="7.85546875" customWidth="1"/>
    <col min="5" max="5" width="7.28515625" customWidth="1"/>
    <col min="6" max="7" width="7.7109375" customWidth="1"/>
    <col min="8" max="8" width="8.42578125" customWidth="1"/>
    <col min="9" max="9" width="7.85546875" customWidth="1"/>
    <col min="10" max="10" width="6.28515625" customWidth="1"/>
    <col min="11" max="14" width="8.7109375" customWidth="1"/>
    <col min="15" max="15" width="9.5703125" customWidth="1"/>
    <col min="16" max="20" width="8.7109375" customWidth="1"/>
    <col min="29" max="29" width="8.85546875" customWidth="1"/>
  </cols>
  <sheetData>
    <row r="1" spans="1:29" ht="18.75" x14ac:dyDescent="0.35">
      <c r="A1" s="172" t="s">
        <v>75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38"/>
      <c r="Q1" s="38"/>
      <c r="R1" s="38"/>
      <c r="S1" s="1"/>
      <c r="T1" s="1"/>
    </row>
    <row r="2" spans="1:29" ht="13.5" thickBot="1" x14ac:dyDescent="0.25">
      <c r="A2" s="2" t="s">
        <v>80</v>
      </c>
      <c r="H2" s="2"/>
      <c r="I2" s="2"/>
      <c r="J2" s="2"/>
      <c r="K2" s="2"/>
      <c r="L2" s="2"/>
      <c r="M2" s="2"/>
      <c r="N2" s="2"/>
      <c r="O2" s="2"/>
      <c r="S2" s="1"/>
      <c r="T2" s="1"/>
    </row>
    <row r="3" spans="1:29" x14ac:dyDescent="0.2">
      <c r="A3" s="2" t="s">
        <v>83</v>
      </c>
      <c r="G3" s="2" t="s">
        <v>94</v>
      </c>
      <c r="H3" s="2"/>
      <c r="J3" s="9"/>
      <c r="K3" s="5" t="s">
        <v>1</v>
      </c>
      <c r="L3" s="6"/>
      <c r="M3" s="173" t="s">
        <v>2</v>
      </c>
      <c r="N3" s="174"/>
      <c r="O3" s="7" t="s">
        <v>3</v>
      </c>
    </row>
    <row r="4" spans="1:29" ht="15.75" x14ac:dyDescent="0.3">
      <c r="A4" s="2" t="s">
        <v>4</v>
      </c>
      <c r="F4" s="2"/>
      <c r="I4" s="2"/>
      <c r="J4" s="2"/>
      <c r="K4" s="5" t="s">
        <v>5</v>
      </c>
      <c r="L4" s="6"/>
      <c r="M4" s="175" t="s">
        <v>6</v>
      </c>
      <c r="N4" s="176"/>
      <c r="O4" s="10" t="s">
        <v>7</v>
      </c>
    </row>
    <row r="5" spans="1:29" ht="16.5" thickBot="1" x14ac:dyDescent="0.35">
      <c r="A5" s="2" t="s">
        <v>42</v>
      </c>
      <c r="B5" s="2"/>
      <c r="E5" s="2"/>
      <c r="F5" s="2"/>
      <c r="G5" s="2"/>
      <c r="H5" s="11"/>
      <c r="K5" s="5" t="s">
        <v>8</v>
      </c>
      <c r="L5" s="6"/>
      <c r="M5" s="180" t="s">
        <v>9</v>
      </c>
      <c r="N5" s="181"/>
      <c r="O5" s="12" t="s">
        <v>7</v>
      </c>
      <c r="P5" s="2"/>
      <c r="Q5" s="2"/>
      <c r="AC5" s="103"/>
    </row>
    <row r="6" spans="1:29" x14ac:dyDescent="0.2">
      <c r="A6" s="169" t="s">
        <v>73</v>
      </c>
      <c r="B6" s="169"/>
      <c r="G6" s="3" t="s">
        <v>10</v>
      </c>
      <c r="H6" s="3"/>
      <c r="K6" s="5" t="s">
        <v>11</v>
      </c>
      <c r="L6" s="5"/>
      <c r="P6" s="2"/>
      <c r="Q6" s="2"/>
      <c r="R6" s="1"/>
      <c r="AC6" s="103"/>
    </row>
    <row r="7" spans="1:29" x14ac:dyDescent="0.2">
      <c r="A7" s="179" t="s">
        <v>12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5"/>
      <c r="M7" s="13"/>
      <c r="N7" s="13"/>
      <c r="O7" s="14"/>
      <c r="P7" s="2"/>
      <c r="Q7" s="2"/>
      <c r="AC7" s="103"/>
    </row>
    <row r="8" spans="1:29" ht="12.75" customHeight="1" x14ac:dyDescent="0.2">
      <c r="A8" s="4"/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AC8" s="103"/>
    </row>
    <row r="9" spans="1:29" ht="13.5" thickBot="1" x14ac:dyDescent="0.25"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AC9" s="103"/>
    </row>
    <row r="10" spans="1:29" ht="17.25" customHeight="1" thickBot="1" x14ac:dyDescent="0.35">
      <c r="A10" s="184" t="s">
        <v>13</v>
      </c>
      <c r="B10" s="186" t="s">
        <v>14</v>
      </c>
      <c r="C10" s="177" t="s">
        <v>43</v>
      </c>
      <c r="D10" s="178"/>
      <c r="E10" s="178"/>
      <c r="F10" s="178"/>
      <c r="G10" s="178"/>
      <c r="H10" s="171"/>
      <c r="I10" s="18" t="s">
        <v>16</v>
      </c>
      <c r="J10" s="18" t="s">
        <v>17</v>
      </c>
      <c r="K10" s="170" t="s">
        <v>18</v>
      </c>
      <c r="L10" s="178"/>
      <c r="M10" s="178"/>
      <c r="N10" s="178"/>
      <c r="O10" s="178"/>
      <c r="P10" s="171"/>
      <c r="Q10" s="18" t="s">
        <v>16</v>
      </c>
      <c r="R10" s="20" t="s">
        <v>17</v>
      </c>
      <c r="S10" s="170" t="s">
        <v>19</v>
      </c>
      <c r="T10" s="171"/>
      <c r="AC10" s="103"/>
    </row>
    <row r="11" spans="1:29" ht="13.5" thickBot="1" x14ac:dyDescent="0.25">
      <c r="A11" s="185"/>
      <c r="B11" s="187"/>
      <c r="C11" s="79" t="s">
        <v>20</v>
      </c>
      <c r="D11" s="21" t="s">
        <v>21</v>
      </c>
      <c r="E11" s="21" t="s">
        <v>22</v>
      </c>
      <c r="F11" s="21" t="s">
        <v>23</v>
      </c>
      <c r="G11" s="21" t="s">
        <v>24</v>
      </c>
      <c r="H11" s="151" t="s">
        <v>25</v>
      </c>
      <c r="I11" s="21" t="s">
        <v>26</v>
      </c>
      <c r="J11" s="147" t="s">
        <v>27</v>
      </c>
      <c r="K11" s="21" t="s">
        <v>20</v>
      </c>
      <c r="L11" s="152" t="s">
        <v>21</v>
      </c>
      <c r="M11" s="21" t="s">
        <v>22</v>
      </c>
      <c r="N11" s="152" t="s">
        <v>23</v>
      </c>
      <c r="O11" s="21" t="s">
        <v>28</v>
      </c>
      <c r="P11" s="153" t="s">
        <v>25</v>
      </c>
      <c r="Q11" s="21" t="s">
        <v>26</v>
      </c>
      <c r="R11" s="21" t="s">
        <v>27</v>
      </c>
      <c r="S11" s="21" t="s">
        <v>29</v>
      </c>
      <c r="T11" s="21" t="s">
        <v>30</v>
      </c>
      <c r="AC11" s="103"/>
    </row>
    <row r="12" spans="1:29" x14ac:dyDescent="0.2">
      <c r="A12" s="149">
        <v>1</v>
      </c>
      <c r="B12" s="137">
        <v>45295</v>
      </c>
      <c r="C12" s="32">
        <f>[1]Air!$D$4</f>
        <v>11.298245614035087</v>
      </c>
      <c r="D12" s="41">
        <f>[1]Air!$D$5</f>
        <v>10.861111111111111</v>
      </c>
      <c r="E12" s="41">
        <f>[1]Air!$D$6</f>
        <v>12.710526315789474</v>
      </c>
      <c r="F12" s="41">
        <f>[1]Air!$D$7</f>
        <v>14.162037037037036</v>
      </c>
      <c r="G12" s="41">
        <f>[1]Air!$D$8</f>
        <v>14.907407407407407</v>
      </c>
      <c r="H12" s="41">
        <f>[1]Air!$D$9</f>
        <v>10.435185185185185</v>
      </c>
      <c r="I12" s="24">
        <f t="shared" ref="I12:I19" si="0">MAX(C12:H12)</f>
        <v>14.907407407407407</v>
      </c>
      <c r="J12" s="138">
        <f t="shared" ref="J12:J19" si="1">AVERAGE(C12:H12)</f>
        <v>12.395752111760883</v>
      </c>
      <c r="K12" s="24">
        <f>[1]Air!$U$4</f>
        <v>31.230086794111184</v>
      </c>
      <c r="L12" s="24">
        <f>[1]Air!$U$4</f>
        <v>31.230086794111184</v>
      </c>
      <c r="M12" s="24">
        <f>[1]Air!$U$5</f>
        <v>30.396903872513629</v>
      </c>
      <c r="N12" s="24">
        <f>[1]Air!$U$6</f>
        <v>37.933392314008486</v>
      </c>
      <c r="O12" s="24">
        <f>[1]Air!$U$7</f>
        <v>40.8246018804427</v>
      </c>
      <c r="P12" s="24">
        <f>[1]Air!$U$8</f>
        <v>40.803761078151325</v>
      </c>
      <c r="Q12" s="24">
        <f>MAX(K12:P12)</f>
        <v>40.8246018804427</v>
      </c>
      <c r="R12" s="24">
        <f>AVERAGE(K12:P12)</f>
        <v>35.403138788889756</v>
      </c>
      <c r="S12" s="76"/>
      <c r="T12" s="76"/>
      <c r="AC12" s="103"/>
    </row>
    <row r="13" spans="1:29" x14ac:dyDescent="0.2">
      <c r="A13" s="24">
        <v>2</v>
      </c>
      <c r="B13" s="80">
        <v>45298</v>
      </c>
      <c r="C13" s="77">
        <f>[1]Air!$D$10</f>
        <v>9.5833333333333339</v>
      </c>
      <c r="D13" s="77">
        <f>[1]Air!$D$11</f>
        <v>10.733333333333333</v>
      </c>
      <c r="E13" s="77">
        <f>[1]Air!$D$12</f>
        <v>9.8859649122807021</v>
      </c>
      <c r="F13" s="77">
        <f>[1]Air!$D$13</f>
        <v>11.925925925925926</v>
      </c>
      <c r="G13" s="77">
        <f>[1]Air!$D$14</f>
        <v>9.6898148148148149</v>
      </c>
      <c r="H13" s="77">
        <f>[1]Air!$D$15</f>
        <v>7.4537037037037033</v>
      </c>
      <c r="I13" s="77">
        <f t="shared" si="0"/>
        <v>11.925925925925926</v>
      </c>
      <c r="J13" s="77">
        <f t="shared" si="1"/>
        <v>9.8786793372319686</v>
      </c>
      <c r="K13" s="77">
        <f>[1]Air!$U$10</f>
        <v>29.088975735317202</v>
      </c>
      <c r="L13" s="77">
        <f>[1]Air!$U$11</f>
        <v>31.70483200971006</v>
      </c>
      <c r="M13" s="77">
        <f>[1]Air!$U$12</f>
        <v>68.291092761567739</v>
      </c>
      <c r="N13" s="77">
        <f>[1]Air!$U$13</f>
        <v>47.329823404919679</v>
      </c>
      <c r="O13" s="77">
        <f>[1]Air!$U$14</f>
        <v>49.196299958495089</v>
      </c>
      <c r="P13" s="77">
        <f>[1]Air!$U$15</f>
        <v>46.144467638370088</v>
      </c>
      <c r="Q13" s="77">
        <f t="shared" ref="Q13:Q19" si="2">MAX(K13:P13)</f>
        <v>68.291092761567739</v>
      </c>
      <c r="R13" s="77">
        <f t="shared" ref="R13:R19" si="3">AVERAGE(K13:P13)</f>
        <v>45.292581918063313</v>
      </c>
      <c r="S13" s="77"/>
      <c r="T13" s="77"/>
      <c r="AC13" s="103"/>
    </row>
    <row r="14" spans="1:29" x14ac:dyDescent="0.2">
      <c r="A14" s="150">
        <v>3</v>
      </c>
      <c r="B14" s="80">
        <v>45302</v>
      </c>
      <c r="C14" s="77">
        <f>[1]Air!$D$16</f>
        <v>7.666666666666667</v>
      </c>
      <c r="D14" s="77">
        <f>[1]Air!$D$17</f>
        <v>9.3916666666666675</v>
      </c>
      <c r="E14" s="77">
        <f>[1]Air!$D$18</f>
        <v>10.0625</v>
      </c>
      <c r="F14" s="77">
        <f>[1]Air!$D$19</f>
        <v>9.6898148148148149</v>
      </c>
      <c r="G14" s="77">
        <f>[1]Air!$D$20</f>
        <v>11.180555555555555</v>
      </c>
      <c r="H14" s="77">
        <f>[1]Air!$D$21</f>
        <v>10.435185185185185</v>
      </c>
      <c r="I14" s="77">
        <f t="shared" si="0"/>
        <v>11.180555555555555</v>
      </c>
      <c r="J14" s="77">
        <f t="shared" si="1"/>
        <v>9.7377314814814806</v>
      </c>
      <c r="K14" s="77">
        <f>[1]Air!$U$16</f>
        <v>50.015825930460075</v>
      </c>
      <c r="L14" s="77">
        <f>[1]Air!$U$17</f>
        <v>51.323754067656516</v>
      </c>
      <c r="M14" s="77">
        <f>[1]Air!$U$18</f>
        <v>48.707897793263648</v>
      </c>
      <c r="N14" s="77">
        <f>[1]Air!$U$19</f>
        <v>52.389440146179552</v>
      </c>
      <c r="O14" s="77">
        <f>[1]Air!$U$20</f>
        <v>56.062922678776339</v>
      </c>
      <c r="P14" s="77">
        <f>[1]Air!$U$21</f>
        <v>57.588838838838846</v>
      </c>
      <c r="Q14" s="77">
        <f t="shared" si="2"/>
        <v>57.588838838838846</v>
      </c>
      <c r="R14" s="77">
        <f t="shared" si="3"/>
        <v>52.681446575862488</v>
      </c>
      <c r="S14" s="77"/>
      <c r="T14" s="77"/>
      <c r="AC14" s="14"/>
    </row>
    <row r="15" spans="1:29" x14ac:dyDescent="0.2">
      <c r="A15" s="24">
        <v>4</v>
      </c>
      <c r="B15" s="80">
        <v>45305</v>
      </c>
      <c r="C15" s="77">
        <f>[1]Air!$D$22</f>
        <v>11.298245614035087</v>
      </c>
      <c r="D15" s="77">
        <f>[1]Air!$D$23</f>
        <v>9.8859649122807021</v>
      </c>
      <c r="E15" s="77">
        <f>[1]Air!$D$24</f>
        <v>12.004385964912281</v>
      </c>
      <c r="F15" s="77">
        <f>[1]Air!$D$25</f>
        <v>12.710526315789474</v>
      </c>
      <c r="G15" s="77">
        <f>[1]Air!$D$26</f>
        <v>12.710526315789474</v>
      </c>
      <c r="H15" s="77">
        <f>[1]Air!$D$27</f>
        <v>11.298245614035087</v>
      </c>
      <c r="I15" s="77">
        <f t="shared" si="0"/>
        <v>12.710526315789474</v>
      </c>
      <c r="J15" s="77">
        <f t="shared" si="1"/>
        <v>11.651315789473683</v>
      </c>
      <c r="K15" s="77">
        <f>[1]Air!$U$22</f>
        <v>53.889941771039339</v>
      </c>
      <c r="L15" s="77">
        <f>[1]Air!$U$23</f>
        <v>53.835044929396659</v>
      </c>
      <c r="M15" s="77">
        <f>[1]Air!$U$24</f>
        <v>55.299964598745085</v>
      </c>
      <c r="N15" s="77">
        <f>[1]Air!$U$25</f>
        <v>50.94383536296246</v>
      </c>
      <c r="O15" s="77">
        <f>[1]Air!$U$26</f>
        <v>38.65619470561704</v>
      </c>
      <c r="P15" s="77">
        <f>[1]Air!$U$27</f>
        <v>38.65619470561704</v>
      </c>
      <c r="Q15" s="77">
        <f>MAX(K15:P15)</f>
        <v>55.299964598745085</v>
      </c>
      <c r="R15" s="77">
        <f>AVERAGE(K15:P15)</f>
        <v>48.546862678896275</v>
      </c>
      <c r="S15" s="77"/>
      <c r="T15" s="77"/>
      <c r="AC15" s="158"/>
    </row>
    <row r="16" spans="1:29" ht="12" customHeight="1" x14ac:dyDescent="0.2">
      <c r="A16" s="150">
        <v>5</v>
      </c>
      <c r="B16" s="80">
        <v>45309</v>
      </c>
      <c r="C16" s="77">
        <f>[1]Air!$D$28</f>
        <v>9.8859649122807021</v>
      </c>
      <c r="D16" s="77">
        <f>[1]Air!$D$29</f>
        <v>10.592105263157896</v>
      </c>
      <c r="E16" s="77">
        <f>[1]Air!$D$30</f>
        <v>12.004385964912281</v>
      </c>
      <c r="F16" s="77">
        <f>[1]Air!$D$31</f>
        <v>12.710526315789474</v>
      </c>
      <c r="G16" s="77">
        <f>[1]Air!$D$32</f>
        <v>11.298245614035087</v>
      </c>
      <c r="H16" s="77">
        <f>[1]Air!$D$33</f>
        <v>12.671296296296296</v>
      </c>
      <c r="I16" s="77">
        <f t="shared" si="0"/>
        <v>12.710526315789474</v>
      </c>
      <c r="J16" s="77">
        <f t="shared" si="1"/>
        <v>11.527087394411955</v>
      </c>
      <c r="K16" s="77">
        <f>[1]Air!$U$28</f>
        <v>60.756564491320603</v>
      </c>
      <c r="L16" s="77">
        <f>[1]Air!$U$29</f>
        <v>60.069902219292466</v>
      </c>
      <c r="M16" s="77">
        <f>[1]Air!$U$30</f>
        <v>63.503213579433087</v>
      </c>
      <c r="N16" s="77">
        <f>[1]Air!$U$31</f>
        <v>67.568290369959172</v>
      </c>
      <c r="O16" s="77">
        <f>[1]Air!$U$32</f>
        <v>67.507293879245097</v>
      </c>
      <c r="P16" s="77">
        <f>[1]Air!$U$33</f>
        <v>64.45546155912011</v>
      </c>
      <c r="Q16" s="77">
        <f>MAX(K16:P16)</f>
        <v>67.568290369959172</v>
      </c>
      <c r="R16" s="77">
        <f>AVERAGE(K16:P16)</f>
        <v>63.976787683061758</v>
      </c>
      <c r="S16" s="77"/>
      <c r="T16" s="77"/>
      <c r="AC16" s="158"/>
    </row>
    <row r="17" spans="1:29" x14ac:dyDescent="0.2">
      <c r="A17" s="24">
        <v>6</v>
      </c>
      <c r="B17" s="80">
        <v>45312</v>
      </c>
      <c r="C17" s="77">
        <f>[1]Air!$D$34</f>
        <v>7.666666666666667</v>
      </c>
      <c r="D17" s="77">
        <f>[1]Air!$D$35</f>
        <v>10.222222222222221</v>
      </c>
      <c r="E17" s="77">
        <f>[1]Air!$D$36</f>
        <v>10.592105263157896</v>
      </c>
      <c r="F17" s="77">
        <f>[1]Air!$D$37</f>
        <v>10.435185185185185</v>
      </c>
      <c r="G17" s="77">
        <f>[1]Air!$D$48</f>
        <v>8.9444444444444446</v>
      </c>
      <c r="H17" s="77">
        <f>[1]Air!$D$39</f>
        <v>11.180555555555555</v>
      </c>
      <c r="I17" s="77">
        <f t="shared" si="0"/>
        <v>11.180555555555555</v>
      </c>
      <c r="J17" s="77">
        <f t="shared" si="1"/>
        <v>9.8401965562053277</v>
      </c>
      <c r="K17" s="77">
        <f>[1]Air!$U$34</f>
        <v>50.015825930460075</v>
      </c>
      <c r="L17" s="77">
        <f>[1]Air!$U$35</f>
        <v>58.696577675236213</v>
      </c>
      <c r="M17" s="77">
        <f>[1]Air!$U$36</f>
        <v>56.726254495830879</v>
      </c>
      <c r="N17" s="77">
        <f>[1]Air!$U$37</f>
        <v>53.011090358651344</v>
      </c>
      <c r="O17" s="77">
        <f>[1]Air!$U$38</f>
        <v>62.508673628699299</v>
      </c>
      <c r="P17" s="77">
        <f>[1]Air!$U$39</f>
        <v>50.722216118557597</v>
      </c>
      <c r="Q17" s="77">
        <f t="shared" si="2"/>
        <v>62.508673628699299</v>
      </c>
      <c r="R17" s="77">
        <f t="shared" si="3"/>
        <v>55.280106367905894</v>
      </c>
      <c r="S17" s="77"/>
      <c r="T17" s="77"/>
    </row>
    <row r="18" spans="1:29" x14ac:dyDescent="0.2">
      <c r="A18" s="150">
        <v>7</v>
      </c>
      <c r="B18" s="80">
        <v>45316</v>
      </c>
      <c r="C18" s="77">
        <f>[1]Air!$D$40</f>
        <v>10.861111111111111</v>
      </c>
      <c r="D18" s="77">
        <f>[1]Air!$D$41</f>
        <v>12.710526315789474</v>
      </c>
      <c r="E18" s="77">
        <f>[1]Air!$D$42</f>
        <v>12.745833333333334</v>
      </c>
      <c r="F18" s="77">
        <f>[1]Air!$D$43</f>
        <v>11.925925925925926</v>
      </c>
      <c r="G18" s="77">
        <f>[1]Air!$D$44</f>
        <v>12.671296296296296</v>
      </c>
      <c r="H18" s="77">
        <f>[1]Air!$D$45</f>
        <v>11.180555555555555</v>
      </c>
      <c r="I18" s="77">
        <f t="shared" si="0"/>
        <v>12.745833333333334</v>
      </c>
      <c r="J18" s="77">
        <f t="shared" si="1"/>
        <v>12.015874756335281</v>
      </c>
      <c r="K18" s="77">
        <f>[1]Air!$U$40</f>
        <v>45.64999450670183</v>
      </c>
      <c r="L18" s="77">
        <f>[1]Air!$U$41</f>
        <v>41.514293038683292</v>
      </c>
      <c r="M18" s="77">
        <f>[1]Air!$U$42</f>
        <v>48.775428188136793</v>
      </c>
      <c r="N18" s="77">
        <f>[1]Air!$U$43</f>
        <v>50.94383536296246</v>
      </c>
      <c r="O18" s="77">
        <f>[1]Air!$U$44</f>
        <v>42.270206663659813</v>
      </c>
      <c r="P18" s="77">
        <f>[1]Air!$U$45</f>
        <v>42.993009055268359</v>
      </c>
      <c r="Q18" s="77">
        <f t="shared" si="2"/>
        <v>50.94383536296246</v>
      </c>
      <c r="R18" s="77">
        <f t="shared" si="3"/>
        <v>45.357794469235422</v>
      </c>
      <c r="S18" s="133"/>
      <c r="T18" s="133"/>
      <c r="AC18" s="14"/>
    </row>
    <row r="19" spans="1:29" x14ac:dyDescent="0.2">
      <c r="A19" s="24">
        <v>8</v>
      </c>
      <c r="B19" s="80">
        <v>45319</v>
      </c>
      <c r="C19" s="77">
        <f>[1]Air!$D$46</f>
        <v>10.222222222222221</v>
      </c>
      <c r="D19" s="77">
        <f>[1]Air!$D$47</f>
        <v>8.3055555555555554</v>
      </c>
      <c r="E19" s="77">
        <f>[1]Air!$D$48</f>
        <v>8.9444444444444446</v>
      </c>
      <c r="F19" s="77">
        <f>[1]Air!$D$49</f>
        <v>10.435185185185185</v>
      </c>
      <c r="G19" s="77">
        <f>[1]Air!$D$50</f>
        <v>11.180555555555555</v>
      </c>
      <c r="H19" s="77">
        <f>[1]Air!$D$51</f>
        <v>9.6898148148148149</v>
      </c>
      <c r="I19" s="77">
        <f t="shared" si="0"/>
        <v>11.180555555555555</v>
      </c>
      <c r="J19" s="77">
        <f t="shared" si="1"/>
        <v>9.7962962962962958</v>
      </c>
      <c r="K19" s="77">
        <f>[1]Air!$U$46</f>
        <v>38.783371786420567</v>
      </c>
      <c r="L19" s="77">
        <f>[1]Air!$U$47</f>
        <v>40.156696330476827</v>
      </c>
      <c r="M19" s="77">
        <f>[1]Air!$U$48</f>
        <v>43.71581144687692</v>
      </c>
      <c r="N19" s="77">
        <f>[1]Air!$U$49</f>
        <v>44.438613838485473</v>
      </c>
      <c r="O19" s="77">
        <f>[1]Air!$U$50</f>
        <v>48.433341878463835</v>
      </c>
      <c r="P19" s="77">
        <f>[1]Air!$U$51</f>
        <v>48.775428188136793</v>
      </c>
      <c r="Q19" s="77">
        <f t="shared" si="2"/>
        <v>48.775428188136793</v>
      </c>
      <c r="R19" s="77">
        <f t="shared" si="3"/>
        <v>44.05054391147673</v>
      </c>
      <c r="S19" s="77"/>
      <c r="T19" s="77"/>
      <c r="AC19" s="14"/>
    </row>
    <row r="20" spans="1:29" ht="12" customHeight="1" x14ac:dyDescent="0.2">
      <c r="A20" s="150"/>
      <c r="B20" s="80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AC20" s="158"/>
    </row>
    <row r="21" spans="1:29" ht="13.5" thickBot="1" x14ac:dyDescent="0.25">
      <c r="A21" s="26"/>
      <c r="B21" s="159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AC21" s="158"/>
    </row>
    <row r="22" spans="1:29" x14ac:dyDescent="0.2">
      <c r="A22" s="25"/>
      <c r="B22" s="25"/>
      <c r="C22" s="25"/>
      <c r="D22" s="25"/>
      <c r="E22" s="25"/>
      <c r="F22" s="25"/>
      <c r="G22" s="25"/>
      <c r="H22" s="25"/>
      <c r="I22" s="37"/>
      <c r="J22" s="37"/>
      <c r="K22" s="25"/>
      <c r="L22" s="25"/>
      <c r="M22" s="25"/>
      <c r="N22" s="25"/>
      <c r="O22" s="25"/>
      <c r="P22" s="25"/>
      <c r="Q22" s="37"/>
      <c r="R22" s="37"/>
      <c r="S22" s="37"/>
      <c r="T22" s="37"/>
      <c r="AC22" s="158"/>
    </row>
    <row r="23" spans="1:29" x14ac:dyDescent="0.2">
      <c r="A23" s="25"/>
      <c r="B23" s="25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37"/>
      <c r="S23" s="37"/>
      <c r="T23" s="37"/>
    </row>
    <row r="24" spans="1:29" ht="15.75" x14ac:dyDescent="0.25">
      <c r="A24" s="38" t="s">
        <v>72</v>
      </c>
      <c r="B24" s="80"/>
      <c r="C24" s="111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S24" s="25"/>
      <c r="T24" s="25"/>
    </row>
    <row r="25" spans="1:29" x14ac:dyDescent="0.2">
      <c r="A25" s="2" t="s">
        <v>84</v>
      </c>
      <c r="H25" s="2"/>
      <c r="I25" s="2"/>
      <c r="J25" s="2"/>
      <c r="K25" s="29"/>
      <c r="M25" s="8"/>
      <c r="N25" s="9"/>
      <c r="O25" s="2"/>
      <c r="AC25" s="158"/>
    </row>
    <row r="26" spans="1:29" x14ac:dyDescent="0.2">
      <c r="A26" s="2" t="s">
        <v>0</v>
      </c>
      <c r="G26" s="2" t="s">
        <v>94</v>
      </c>
      <c r="H26" s="2"/>
      <c r="J26" s="9"/>
      <c r="K26" s="2"/>
      <c r="L26" s="2"/>
      <c r="M26" s="2"/>
      <c r="N26" s="2"/>
      <c r="O26" s="2"/>
      <c r="AC26" s="158"/>
    </row>
    <row r="27" spans="1:29" ht="14.25" x14ac:dyDescent="0.2">
      <c r="A27" s="2" t="s">
        <v>4</v>
      </c>
      <c r="G27" s="2" t="s">
        <v>31</v>
      </c>
      <c r="H27" t="s">
        <v>32</v>
      </c>
      <c r="M27" s="2"/>
      <c r="N27" s="2"/>
      <c r="O27" s="2"/>
      <c r="AC27" s="158"/>
    </row>
    <row r="28" spans="1:29" x14ac:dyDescent="0.2">
      <c r="A28" s="169" t="s">
        <v>33</v>
      </c>
      <c r="B28" s="169"/>
      <c r="C28" s="169"/>
      <c r="D28" s="169"/>
      <c r="E28" s="2"/>
      <c r="G28" s="5"/>
      <c r="H28" s="6"/>
      <c r="I28" s="2"/>
      <c r="J28" s="5"/>
      <c r="K28" s="30"/>
      <c r="L28" s="30"/>
      <c r="M28" s="14"/>
      <c r="N28" s="2"/>
      <c r="O28" s="2"/>
      <c r="AC28" s="158"/>
    </row>
    <row r="29" spans="1:29" x14ac:dyDescent="0.2">
      <c r="A29" s="9" t="s">
        <v>74</v>
      </c>
      <c r="I29" s="2"/>
      <c r="J29" s="5"/>
      <c r="K29" s="6"/>
      <c r="L29" s="2"/>
      <c r="M29" s="2"/>
      <c r="N29" s="2"/>
      <c r="O29" s="2"/>
    </row>
    <row r="30" spans="1:29" ht="13.5" thickBot="1" x14ac:dyDescent="0.25">
      <c r="K30" s="1"/>
      <c r="L30" s="1"/>
      <c r="AC30" s="14"/>
    </row>
    <row r="31" spans="1:29" ht="14.25" thickBot="1" x14ac:dyDescent="0.25">
      <c r="A31" s="182" t="s">
        <v>13</v>
      </c>
      <c r="B31" s="182" t="s">
        <v>14</v>
      </c>
      <c r="C31" s="184" t="s">
        <v>34</v>
      </c>
      <c r="D31" s="190"/>
      <c r="E31" s="190"/>
      <c r="F31" s="18" t="s">
        <v>35</v>
      </c>
      <c r="G31" s="17" t="s">
        <v>17</v>
      </c>
      <c r="H31" s="177" t="s">
        <v>36</v>
      </c>
      <c r="I31" s="177"/>
      <c r="J31" s="188"/>
      <c r="K31" s="20" t="s">
        <v>35</v>
      </c>
      <c r="L31" s="19" t="s">
        <v>17</v>
      </c>
      <c r="M31" s="191" t="s">
        <v>37</v>
      </c>
      <c r="N31" s="192"/>
      <c r="O31" s="182" t="s">
        <v>38</v>
      </c>
      <c r="P31" s="28"/>
      <c r="AC31" s="14"/>
    </row>
    <row r="32" spans="1:29" ht="13.5" thickBot="1" x14ac:dyDescent="0.25">
      <c r="A32" s="183"/>
      <c r="B32" s="183"/>
      <c r="C32" s="21" t="s">
        <v>39</v>
      </c>
      <c r="D32" s="21" t="s">
        <v>40</v>
      </c>
      <c r="E32" s="147" t="s">
        <v>91</v>
      </c>
      <c r="F32" s="21" t="s">
        <v>26</v>
      </c>
      <c r="G32" s="79" t="s">
        <v>27</v>
      </c>
      <c r="H32" s="21" t="s">
        <v>39</v>
      </c>
      <c r="I32" s="21" t="s">
        <v>40</v>
      </c>
      <c r="J32" s="21" t="s">
        <v>41</v>
      </c>
      <c r="K32" s="21" t="s">
        <v>26</v>
      </c>
      <c r="L32" s="21" t="s">
        <v>27</v>
      </c>
      <c r="M32" s="23" t="s">
        <v>29</v>
      </c>
      <c r="N32" s="23" t="s">
        <v>30</v>
      </c>
      <c r="O32" s="183"/>
      <c r="AC32" s="14"/>
    </row>
    <row r="33" spans="1:29" x14ac:dyDescent="0.2">
      <c r="A33" s="149">
        <v>1</v>
      </c>
      <c r="B33" s="137">
        <v>45295</v>
      </c>
      <c r="C33" s="157">
        <f>'[2]SPM &amp; RSPM'!$S$7</f>
        <v>120.37037037037022</v>
      </c>
      <c r="D33" s="157">
        <f>'[2]SPM &amp; RSPM'!$S$8</f>
        <v>116.00968188105105</v>
      </c>
      <c r="E33" s="157">
        <f>'[2]SPM &amp; RSPM'!$S$9</f>
        <v>158.41750841750857</v>
      </c>
      <c r="F33" s="77">
        <f>MAX(C33:E33)</f>
        <v>158.41750841750857</v>
      </c>
      <c r="G33" s="109">
        <f>AVERAGE(C33:E33)</f>
        <v>131.59918688964328</v>
      </c>
      <c r="H33" s="157">
        <f>'[2]SPM &amp; RSPM'!$T$7</f>
        <v>320.53872053872044</v>
      </c>
      <c r="I33" s="157">
        <f>'[2]SPM &amp; RSPM'!$T$8</f>
        <v>193.29183955739973</v>
      </c>
      <c r="J33" s="157">
        <f>'[2]SPM &amp; RSPM'!$T$9</f>
        <v>335.52188552188568</v>
      </c>
      <c r="K33" s="131">
        <f>MAX(H33:J33)</f>
        <v>335.52188552188568</v>
      </c>
      <c r="L33" s="131">
        <f>AVERAGE(H33:J33)</f>
        <v>283.11748187266863</v>
      </c>
      <c r="M33" s="76"/>
      <c r="N33" s="76"/>
      <c r="O33" s="160"/>
      <c r="AC33" s="14"/>
    </row>
    <row r="34" spans="1:29" x14ac:dyDescent="0.2">
      <c r="A34" s="24">
        <v>2</v>
      </c>
      <c r="B34" s="80">
        <v>45298</v>
      </c>
      <c r="C34" s="138">
        <f>'[2]SPM &amp; RSPM'!$S$16</f>
        <v>130.92818428184304</v>
      </c>
      <c r="D34" s="24">
        <f>'[2]SPM &amp; RSPM'!$S$17</f>
        <v>53.353658536585137</v>
      </c>
      <c r="E34" s="24">
        <f>'[2]SPM &amp; RSPM'!$S$18</f>
        <v>81.144781144781192</v>
      </c>
      <c r="F34" s="77">
        <f t="shared" ref="F34:F40" si="4">MAX(C34:E34)</f>
        <v>130.92818428184304</v>
      </c>
      <c r="G34" s="109">
        <f t="shared" ref="G34:G40" si="5">AVERAGE(C34:E34)</f>
        <v>88.475541321069784</v>
      </c>
      <c r="H34" s="139">
        <f>'[2]SPM &amp; RSPM'!$T$16</f>
        <v>316.05691056910587</v>
      </c>
      <c r="I34" s="139">
        <f>'[2]SPM &amp; RSPM'!$T$17</f>
        <v>139.56639566395631</v>
      </c>
      <c r="J34" s="139">
        <f>'[2]SPM &amp; RSPM'!$T$18</f>
        <v>213.29966329966339</v>
      </c>
      <c r="K34" s="131">
        <f t="shared" ref="K34:K40" si="6">MAX(H34:J34)</f>
        <v>316.05691056910587</v>
      </c>
      <c r="L34" s="131">
        <f t="shared" ref="L34:L40" si="7">AVERAGE(H34:J34)</f>
        <v>222.9743231775752</v>
      </c>
      <c r="M34" s="77"/>
      <c r="N34" s="77"/>
      <c r="O34" s="41"/>
      <c r="Q34" s="34"/>
      <c r="R34" s="35"/>
      <c r="S34" s="35"/>
      <c r="T34" s="28"/>
      <c r="AC34" s="14"/>
    </row>
    <row r="35" spans="1:29" x14ac:dyDescent="0.2">
      <c r="A35" s="150">
        <v>3</v>
      </c>
      <c r="B35" s="80">
        <v>45302</v>
      </c>
      <c r="C35" s="138">
        <f>'[2]SPM &amp; RSPM'!$S$25</f>
        <v>113.31300813008123</v>
      </c>
      <c r="D35" s="138">
        <f>'[2]SPM &amp; RSPM'!$S$26</f>
        <v>159.09090909090915</v>
      </c>
      <c r="E35" s="138">
        <f>'[2]SPM &amp; RSPM'!$S$27</f>
        <v>62.244897959183611</v>
      </c>
      <c r="F35" s="77">
        <f t="shared" si="4"/>
        <v>159.09090909090915</v>
      </c>
      <c r="G35" s="109">
        <f t="shared" si="5"/>
        <v>111.549605060058</v>
      </c>
      <c r="H35" s="139">
        <f>'[2]SPM &amp; RSPM'!$T$25</f>
        <v>303.18428184281851</v>
      </c>
      <c r="I35" s="139">
        <f>'[2]SPM &amp; RSPM'!$T$26</f>
        <v>280.47520661157012</v>
      </c>
      <c r="J35" s="139">
        <f>'[2]SPM &amp; RSPM'!$T$27</f>
        <v>163.26530612244892</v>
      </c>
      <c r="K35" s="131">
        <f t="shared" si="6"/>
        <v>303.18428184281851</v>
      </c>
      <c r="L35" s="131">
        <f t="shared" si="7"/>
        <v>248.9749315256125</v>
      </c>
      <c r="M35" s="77"/>
      <c r="N35" s="77"/>
      <c r="O35" s="41"/>
      <c r="P35" s="35"/>
      <c r="Q35" s="28"/>
      <c r="S35" s="14"/>
    </row>
    <row r="36" spans="1:29" x14ac:dyDescent="0.2">
      <c r="A36" s="24">
        <v>4</v>
      </c>
      <c r="B36" s="80">
        <v>45305</v>
      </c>
      <c r="C36" s="138">
        <f>'[2]SPM &amp; RSPM'!$S$34</f>
        <v>121.27512127512176</v>
      </c>
      <c r="D36" s="138">
        <f>'[2]SPM &amp; RSPM'!$S$35</f>
        <v>144.93497604380522</v>
      </c>
      <c r="E36" s="138">
        <f>'[2]SPM &amp; RSPM'!$S$36</f>
        <v>187.37373737373733</v>
      </c>
      <c r="F36" s="77">
        <f>MAX(C36:E36)</f>
        <v>187.37373737373733</v>
      </c>
      <c r="G36" s="109">
        <f>AVERAGE(C36:E36)</f>
        <v>151.19461156422142</v>
      </c>
      <c r="H36" s="139">
        <f>'[2]SPM &amp; RSPM'!$T$34</f>
        <v>270.79002079002134</v>
      </c>
      <c r="I36" s="139">
        <f>'[2]SPM &amp; RSPM'!$T$35</f>
        <v>431.38261464750133</v>
      </c>
      <c r="J36" s="139">
        <f>'[2]SPM &amp; RSPM'!$T$36</f>
        <v>319.86531986531975</v>
      </c>
      <c r="K36" s="131">
        <f>MAX(H36:J36)</f>
        <v>431.38261464750133</v>
      </c>
      <c r="L36" s="131">
        <f>AVERAGE(H36:J36)</f>
        <v>340.67931843428079</v>
      </c>
      <c r="M36" s="77"/>
      <c r="N36" s="77"/>
      <c r="O36" s="41"/>
      <c r="P36" s="35"/>
      <c r="Q36" s="28"/>
      <c r="S36" s="28"/>
      <c r="T36" s="28"/>
      <c r="AC36" s="14"/>
    </row>
    <row r="37" spans="1:29" x14ac:dyDescent="0.2">
      <c r="A37" s="150">
        <v>5</v>
      </c>
      <c r="B37" s="80">
        <v>45309</v>
      </c>
      <c r="C37" s="138">
        <f>'[2]SPM &amp; RSPM'!$S$43</f>
        <v>172.38562091503292</v>
      </c>
      <c r="D37" s="138">
        <f>'[2]SPM &amp; RSPM'!$S$44</f>
        <v>124.91228070175467</v>
      </c>
      <c r="E37" s="138">
        <f>'[2]SPM &amp; RSPM'!$S$45</f>
        <v>165.95441595441588</v>
      </c>
      <c r="F37" s="77">
        <f>MAX(C37:E37)</f>
        <v>172.38562091503292</v>
      </c>
      <c r="G37" s="109">
        <f>AVERAGE(C37:E37)</f>
        <v>154.41743919040115</v>
      </c>
      <c r="H37" s="139">
        <f>'[2]SPM &amp; RSPM'!$T$43</f>
        <v>247.8758169934643</v>
      </c>
      <c r="I37" s="139">
        <f>'[2]SPM &amp; RSPM'!$T$44</f>
        <v>180.17543859649166</v>
      </c>
      <c r="J37" s="139">
        <f>'[2]SPM &amp; RSPM'!$T$45</f>
        <v>276.53133903133903</v>
      </c>
      <c r="K37" s="131">
        <f>MAX(H37:J37)</f>
        <v>276.53133903133903</v>
      </c>
      <c r="L37" s="131">
        <f>AVERAGE(H37:J37)</f>
        <v>234.860864873765</v>
      </c>
      <c r="M37" s="77"/>
      <c r="N37" s="77"/>
      <c r="O37" s="41"/>
      <c r="P37" s="35"/>
      <c r="Q37" s="28"/>
      <c r="AC37" s="14"/>
    </row>
    <row r="38" spans="1:29" x14ac:dyDescent="0.2">
      <c r="A38" s="24">
        <v>6</v>
      </c>
      <c r="B38" s="80">
        <v>45312</v>
      </c>
      <c r="C38" s="138">
        <f>'[2]SPM &amp; RSPM'!$S$52</f>
        <v>143.4397163120571</v>
      </c>
      <c r="D38" s="138">
        <f>'[2]SPM &amp; RSPM'!$S$53</f>
        <v>132.57575757575782</v>
      </c>
      <c r="E38" s="24">
        <f>'[2]SPM &amp; RSPM'!$S$54</f>
        <v>139.1242937853111</v>
      </c>
      <c r="F38" s="77">
        <f t="shared" si="4"/>
        <v>143.4397163120571</v>
      </c>
      <c r="G38" s="109">
        <f t="shared" si="5"/>
        <v>138.37992255770868</v>
      </c>
      <c r="H38" s="139">
        <f>'[2]SPM &amp; RSPM'!$T$52</f>
        <v>321.45390070922031</v>
      </c>
      <c r="I38" s="139">
        <f>'[2]SPM &amp; RSPM'!$T$53</f>
        <v>268.03751803751823</v>
      </c>
      <c r="J38" s="139">
        <f>'[2]SPM &amp; RSPM'!$T$54</f>
        <v>224.75282485875741</v>
      </c>
      <c r="K38" s="131">
        <f t="shared" si="6"/>
        <v>321.45390070922031</v>
      </c>
      <c r="L38" s="131">
        <f t="shared" si="7"/>
        <v>271.41474786849864</v>
      </c>
      <c r="M38" s="77"/>
      <c r="N38" s="77"/>
      <c r="O38" s="41"/>
      <c r="AC38" s="14"/>
    </row>
    <row r="39" spans="1:29" x14ac:dyDescent="0.2">
      <c r="A39" s="150">
        <v>7</v>
      </c>
      <c r="B39" s="80">
        <v>45316</v>
      </c>
      <c r="C39" s="138">
        <f>'[2]SPM &amp; RSPM'!$S$61</f>
        <v>110.53361053361068</v>
      </c>
      <c r="D39" s="138">
        <f>'[2]SPM &amp; RSPM'!$S$62</f>
        <v>99.686847599165162</v>
      </c>
      <c r="E39" s="24">
        <f>'[2]SPM &amp; RSPM'!$S$63</f>
        <v>184.46269678302551</v>
      </c>
      <c r="F39" s="77">
        <f t="shared" si="4"/>
        <v>184.46269678302551</v>
      </c>
      <c r="G39" s="109">
        <f t="shared" si="5"/>
        <v>131.56105163860045</v>
      </c>
      <c r="H39" s="139">
        <f>'[2]SPM &amp; RSPM'!$T$61</f>
        <v>283.61053361053388</v>
      </c>
      <c r="I39" s="139">
        <f>'[2]SPM &amp; RSPM'!$T$62</f>
        <v>199.025748086291</v>
      </c>
      <c r="J39" s="139">
        <f>'[2]SPM &amp; RSPM'!$T$63</f>
        <v>282.51197809719395</v>
      </c>
      <c r="K39" s="131">
        <f t="shared" si="6"/>
        <v>283.61053361053388</v>
      </c>
      <c r="L39" s="131">
        <f t="shared" si="7"/>
        <v>255.0494199313396</v>
      </c>
      <c r="M39" s="133"/>
      <c r="N39" s="133"/>
      <c r="O39" s="161"/>
      <c r="AC39" s="158"/>
    </row>
    <row r="40" spans="1:29" x14ac:dyDescent="0.2">
      <c r="A40" s="24">
        <v>8</v>
      </c>
      <c r="B40" s="80">
        <v>45319</v>
      </c>
      <c r="C40" s="138">
        <f>'[2]SPM &amp; RSPM'!$S$70</f>
        <v>82.276250880901983</v>
      </c>
      <c r="D40" s="138">
        <f>'[2]SPM &amp; RSPM'!$S$71</f>
        <v>107.14285714285742</v>
      </c>
      <c r="E40" s="24">
        <f>'[2]SPM &amp; RSPM'!$S$72</f>
        <v>89.057239057239357</v>
      </c>
      <c r="F40" s="77">
        <f t="shared" si="4"/>
        <v>107.14285714285742</v>
      </c>
      <c r="G40" s="109">
        <f t="shared" si="5"/>
        <v>92.825449026999593</v>
      </c>
      <c r="H40" s="139">
        <f>'[2]SPM &amp; RSPM'!$T$70</f>
        <v>154.68639887244538</v>
      </c>
      <c r="I40" s="139">
        <f>'[2]SPM &amp; RSPM'!$T$71</f>
        <v>277.21088435374185</v>
      </c>
      <c r="J40" s="139">
        <f>'[2]SPM &amp; RSPM'!$T$72</f>
        <v>302.86195286195323</v>
      </c>
      <c r="K40" s="131">
        <f t="shared" si="6"/>
        <v>302.86195286195323</v>
      </c>
      <c r="L40" s="131">
        <f t="shared" si="7"/>
        <v>244.91974536271348</v>
      </c>
      <c r="M40" s="77"/>
      <c r="N40" s="77"/>
      <c r="O40" s="41"/>
      <c r="AC40" s="158"/>
    </row>
    <row r="41" spans="1:29" ht="12" customHeight="1" x14ac:dyDescent="0.2">
      <c r="A41" s="150"/>
      <c r="B41" s="80"/>
      <c r="C41" s="138"/>
      <c r="D41" s="138"/>
      <c r="E41" s="24"/>
      <c r="F41" s="77"/>
      <c r="G41" s="109"/>
      <c r="H41" s="139"/>
      <c r="I41" s="139"/>
      <c r="J41" s="139"/>
      <c r="K41" s="131"/>
      <c r="L41" s="131"/>
      <c r="M41" s="77"/>
      <c r="N41" s="77"/>
      <c r="O41" s="41"/>
      <c r="AC41" s="103"/>
    </row>
    <row r="42" spans="1:29" ht="13.5" thickBot="1" x14ac:dyDescent="0.25">
      <c r="A42" s="26"/>
      <c r="B42" s="159"/>
      <c r="C42" s="136"/>
      <c r="D42" s="136"/>
      <c r="E42" s="136"/>
      <c r="F42" s="78"/>
      <c r="G42" s="129"/>
      <c r="H42" s="145"/>
      <c r="I42" s="145"/>
      <c r="J42" s="145"/>
      <c r="K42" s="132"/>
      <c r="L42" s="132"/>
      <c r="M42" s="78"/>
      <c r="N42" s="78"/>
      <c r="O42" s="162"/>
      <c r="AC42" s="14"/>
    </row>
    <row r="43" spans="1:29" x14ac:dyDescent="0.2">
      <c r="A43" s="25"/>
      <c r="B43" s="103"/>
      <c r="C43" s="25"/>
      <c r="D43" s="25"/>
      <c r="E43" s="25"/>
      <c r="F43" s="37"/>
      <c r="G43" s="37"/>
      <c r="H43" s="25"/>
      <c r="I43" s="94"/>
      <c r="J43" s="25"/>
      <c r="K43" s="37"/>
      <c r="L43" s="25"/>
      <c r="M43" s="25"/>
      <c r="N43" s="25"/>
      <c r="O43" s="25"/>
      <c r="AC43" s="14"/>
    </row>
    <row r="44" spans="1:29" ht="13.5" thickBot="1" x14ac:dyDescent="0.25">
      <c r="A44" s="25"/>
      <c r="B44" s="103"/>
      <c r="C44" s="25"/>
      <c r="D44" s="25"/>
      <c r="E44" s="25"/>
      <c r="F44" s="37"/>
      <c r="G44" s="37"/>
      <c r="H44" s="25"/>
      <c r="I44" s="94"/>
      <c r="J44" s="25"/>
      <c r="K44" s="37"/>
      <c r="L44" s="25"/>
      <c r="M44" s="25"/>
      <c r="N44" s="25"/>
      <c r="O44" s="25"/>
      <c r="AC44" s="14"/>
    </row>
    <row r="45" spans="1:29" ht="13.5" thickBot="1" x14ac:dyDescent="0.25">
      <c r="C45" s="45"/>
      <c r="D45" s="117"/>
      <c r="E45" s="99" t="s">
        <v>86</v>
      </c>
      <c r="F45" s="100" t="s">
        <v>87</v>
      </c>
      <c r="G45" s="101" t="s">
        <v>34</v>
      </c>
      <c r="H45" s="102" t="s">
        <v>36</v>
      </c>
      <c r="AC45" s="158"/>
    </row>
    <row r="46" spans="1:29" x14ac:dyDescent="0.2">
      <c r="D46" s="118" t="s">
        <v>1</v>
      </c>
      <c r="E46" s="119">
        <f>COUNT(C12:H21)</f>
        <v>48</v>
      </c>
      <c r="F46" s="120">
        <f>COUNT(K12:P21)</f>
        <v>48</v>
      </c>
      <c r="G46" s="121">
        <f>COUNT(C33:E42)</f>
        <v>24</v>
      </c>
      <c r="H46" s="110">
        <f>COUNT(H33:J42)</f>
        <v>24</v>
      </c>
      <c r="AC46" s="158"/>
    </row>
    <row r="47" spans="1:29" x14ac:dyDescent="0.2">
      <c r="D47" s="118" t="s">
        <v>55</v>
      </c>
      <c r="E47" s="118">
        <f>AVERAGE(C12:H21)</f>
        <v>10.85536671539961</v>
      </c>
      <c r="F47" s="120">
        <f>AVERAGE(K12:P21)</f>
        <v>48.823657799173958</v>
      </c>
      <c r="G47" s="121">
        <f>AVERAGE(C33:E42)</f>
        <v>125.00035090608777</v>
      </c>
      <c r="H47" s="110">
        <f>AVERAGE(H33:J42)</f>
        <v>262.74885413080671</v>
      </c>
      <c r="AC47" s="103"/>
    </row>
    <row r="48" spans="1:29" ht="13.5" customHeight="1" x14ac:dyDescent="0.2">
      <c r="D48" s="118" t="s">
        <v>56</v>
      </c>
      <c r="E48" s="118">
        <f>STDEV(C12:H21)</f>
        <v>1.5947227474641006</v>
      </c>
      <c r="F48" s="120">
        <f>STDEV(K12:P21)</f>
        <v>10.205778593679041</v>
      </c>
      <c r="G48" s="121">
        <f>STDEV(C33:E42)</f>
        <v>36.230454057181753</v>
      </c>
      <c r="H48" s="110">
        <f>STDEV(H33:J42)</f>
        <v>68.544140960646672</v>
      </c>
      <c r="AC48" s="14"/>
    </row>
    <row r="49" spans="4:29" x14ac:dyDescent="0.2">
      <c r="D49" s="118" t="s">
        <v>57</v>
      </c>
      <c r="E49" s="122">
        <f>MAX(C12:H21)</f>
        <v>14.907407407407407</v>
      </c>
      <c r="F49" s="121">
        <f>MAXA(K12:P21)</f>
        <v>68.291092761567739</v>
      </c>
      <c r="G49" s="121">
        <f>MAXA(C33:E42)</f>
        <v>187.37373737373733</v>
      </c>
      <c r="H49" s="110">
        <f>MAXA(H33:J42)</f>
        <v>431.38261464750133</v>
      </c>
      <c r="AC49" s="14"/>
    </row>
    <row r="50" spans="4:29" ht="13.5" thickBot="1" x14ac:dyDescent="0.25">
      <c r="D50" s="123" t="s">
        <v>58</v>
      </c>
      <c r="E50" s="124">
        <f>GEOMEAN(C12:H21)</f>
        <v>10.738083883439922</v>
      </c>
      <c r="F50" s="125">
        <f>GEOMEAN(K12:P21)</f>
        <v>47.730151976178988</v>
      </c>
      <c r="G50" s="126">
        <f>GEOMEAN(C33:E42)</f>
        <v>119.35914407521994</v>
      </c>
      <c r="H50" s="127">
        <f>GEOMEAN(H33:J42)</f>
        <v>253.63883210980211</v>
      </c>
      <c r="AC50" s="158"/>
    </row>
    <row r="51" spans="4:29" x14ac:dyDescent="0.2">
      <c r="AC51" s="158"/>
    </row>
    <row r="52" spans="4:29" x14ac:dyDescent="0.2">
      <c r="AC52" s="158"/>
    </row>
    <row r="53" spans="4:29" x14ac:dyDescent="0.2">
      <c r="AC53" s="103"/>
    </row>
    <row r="55" spans="4:29" x14ac:dyDescent="0.2">
      <c r="AC55" s="158"/>
    </row>
    <row r="56" spans="4:29" x14ac:dyDescent="0.2">
      <c r="AC56" s="158"/>
    </row>
    <row r="57" spans="4:29" x14ac:dyDescent="0.2">
      <c r="AC57" s="158"/>
    </row>
    <row r="58" spans="4:29" x14ac:dyDescent="0.2">
      <c r="AC58" s="158"/>
    </row>
    <row r="66" spans="6:8" ht="15" x14ac:dyDescent="0.2">
      <c r="F66" s="115"/>
      <c r="H66" s="115"/>
    </row>
    <row r="67" spans="6:8" ht="15" x14ac:dyDescent="0.2">
      <c r="F67" s="115"/>
      <c r="H67" s="115"/>
    </row>
    <row r="68" spans="6:8" ht="15" x14ac:dyDescent="0.2">
      <c r="F68" s="115"/>
      <c r="H68" s="115"/>
    </row>
    <row r="69" spans="6:8" ht="15" x14ac:dyDescent="0.2">
      <c r="F69" s="115"/>
      <c r="H69" s="115"/>
    </row>
    <row r="70" spans="6:8" ht="15" x14ac:dyDescent="0.2">
      <c r="F70" s="115"/>
      <c r="H70" s="115"/>
    </row>
    <row r="71" spans="6:8" ht="15" x14ac:dyDescent="0.2">
      <c r="F71" s="115"/>
      <c r="H71" s="115"/>
    </row>
    <row r="72" spans="6:8" ht="15" x14ac:dyDescent="0.2">
      <c r="F72" s="115"/>
      <c r="H72" s="115"/>
    </row>
    <row r="73" spans="6:8" ht="15" x14ac:dyDescent="0.2">
      <c r="F73" s="115"/>
      <c r="H73" s="115"/>
    </row>
    <row r="74" spans="6:8" ht="15" x14ac:dyDescent="0.2">
      <c r="F74" s="115"/>
      <c r="H74" s="115"/>
    </row>
    <row r="75" spans="6:8" ht="15" x14ac:dyDescent="0.2">
      <c r="F75" s="115"/>
      <c r="H75" s="115"/>
    </row>
    <row r="76" spans="6:8" ht="15" x14ac:dyDescent="0.2">
      <c r="H76" s="115"/>
    </row>
    <row r="77" spans="6:8" ht="15" x14ac:dyDescent="0.2">
      <c r="F77" s="115"/>
      <c r="H77" s="115"/>
    </row>
  </sheetData>
  <mergeCells count="19">
    <mergeCell ref="O31:O32"/>
    <mergeCell ref="A10:A11"/>
    <mergeCell ref="B10:B11"/>
    <mergeCell ref="B31:B32"/>
    <mergeCell ref="A31:A32"/>
    <mergeCell ref="H31:J31"/>
    <mergeCell ref="C23:Q23"/>
    <mergeCell ref="C31:E31"/>
    <mergeCell ref="M31:N31"/>
    <mergeCell ref="A28:D28"/>
    <mergeCell ref="A6:B6"/>
    <mergeCell ref="S10:T10"/>
    <mergeCell ref="A1:O1"/>
    <mergeCell ref="M3:N3"/>
    <mergeCell ref="M4:N4"/>
    <mergeCell ref="C10:H10"/>
    <mergeCell ref="A7:K7"/>
    <mergeCell ref="K10:P10"/>
    <mergeCell ref="M5:N5"/>
  </mergeCells>
  <phoneticPr fontId="0" type="noConversion"/>
  <pageMargins left="0.75" right="0.75" top="1" bottom="1" header="0.5" footer="0.5"/>
  <pageSetup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55"/>
  <sheetViews>
    <sheetView topLeftCell="A16" zoomScaleNormal="100" workbookViewId="0">
      <selection activeCell="N50" sqref="N50"/>
    </sheetView>
  </sheetViews>
  <sheetFormatPr defaultRowHeight="12.75" x14ac:dyDescent="0.2"/>
  <cols>
    <col min="1" max="1" width="5.5703125" customWidth="1"/>
    <col min="2" max="2" width="11.5703125" customWidth="1"/>
    <col min="3" max="3" width="7.42578125" customWidth="1"/>
    <col min="4" max="4" width="9" customWidth="1"/>
    <col min="5" max="5" width="7.28515625" customWidth="1"/>
    <col min="6" max="6" width="8.85546875" customWidth="1"/>
    <col min="7" max="7" width="8" customWidth="1"/>
    <col min="8" max="8" width="8.140625" customWidth="1"/>
    <col min="9" max="9" width="7.85546875" customWidth="1"/>
    <col min="10" max="10" width="8" customWidth="1"/>
    <col min="11" max="11" width="7.140625" customWidth="1"/>
    <col min="12" max="14" width="8.7109375" customWidth="1"/>
    <col min="15" max="15" width="11.140625" customWidth="1"/>
    <col min="16" max="20" width="8.7109375" customWidth="1"/>
  </cols>
  <sheetData>
    <row r="1" spans="1:21" ht="18.75" x14ac:dyDescent="0.35">
      <c r="A1" s="172" t="s">
        <v>75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38"/>
      <c r="Q1" s="38"/>
      <c r="R1" s="38"/>
      <c r="S1" s="1"/>
      <c r="T1" s="1"/>
    </row>
    <row r="2" spans="1:21" ht="16.5" thickBot="1" x14ac:dyDescent="0.3">
      <c r="A2" s="9" t="s">
        <v>92</v>
      </c>
      <c r="B2" s="9"/>
      <c r="C2" s="9"/>
      <c r="D2" s="9"/>
      <c r="E2" s="9"/>
      <c r="F2" s="2"/>
      <c r="G2" s="38"/>
      <c r="H2" s="2" t="s">
        <v>94</v>
      </c>
      <c r="I2" s="2"/>
      <c r="K2" s="9"/>
      <c r="L2" s="38"/>
      <c r="M2" s="38"/>
      <c r="N2" s="39"/>
      <c r="S2" s="1"/>
      <c r="T2" s="1"/>
    </row>
    <row r="3" spans="1:21" ht="13.5" thickBot="1" x14ac:dyDescent="0.25">
      <c r="A3" s="2" t="s">
        <v>0</v>
      </c>
      <c r="H3" s="2"/>
      <c r="I3" s="2"/>
      <c r="J3" s="2"/>
      <c r="L3" s="184" t="s">
        <v>2</v>
      </c>
      <c r="M3" s="194"/>
      <c r="N3" s="18" t="s">
        <v>3</v>
      </c>
      <c r="S3" s="1"/>
      <c r="T3" s="1"/>
    </row>
    <row r="4" spans="1:21" ht="15.75" x14ac:dyDescent="0.3">
      <c r="A4" s="2" t="s">
        <v>4</v>
      </c>
      <c r="G4" s="2"/>
      <c r="H4" s="6"/>
      <c r="I4" s="2"/>
      <c r="J4" s="14"/>
      <c r="K4" s="14"/>
      <c r="L4" s="197" t="s">
        <v>6</v>
      </c>
      <c r="M4" s="198"/>
      <c r="N4" s="43" t="s">
        <v>7</v>
      </c>
    </row>
    <row r="5" spans="1:21" ht="16.5" thickBot="1" x14ac:dyDescent="0.35">
      <c r="A5" s="2" t="s">
        <v>44</v>
      </c>
      <c r="B5" s="2"/>
      <c r="C5" s="2"/>
      <c r="D5" s="2"/>
      <c r="F5" s="2"/>
      <c r="G5" s="2"/>
      <c r="H5" s="2"/>
      <c r="I5" s="2"/>
      <c r="J5" s="4"/>
      <c r="K5" s="4"/>
      <c r="L5" s="195" t="s">
        <v>9</v>
      </c>
      <c r="M5" s="196"/>
      <c r="N5" s="44" t="s">
        <v>7</v>
      </c>
    </row>
    <row r="6" spans="1:21" x14ac:dyDescent="0.2">
      <c r="A6" s="169" t="s">
        <v>76</v>
      </c>
      <c r="B6" s="169"/>
      <c r="H6" s="6"/>
      <c r="I6" s="2"/>
      <c r="J6" s="2"/>
      <c r="K6" s="5" t="s">
        <v>5</v>
      </c>
      <c r="L6" s="6"/>
      <c r="M6" s="2"/>
      <c r="N6" s="2"/>
      <c r="O6" s="2"/>
      <c r="P6" s="14"/>
      <c r="Q6" s="14"/>
      <c r="R6" s="14"/>
    </row>
    <row r="7" spans="1:21" x14ac:dyDescent="0.2">
      <c r="A7" s="179" t="s">
        <v>12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42"/>
      <c r="M7" s="2"/>
      <c r="N7" s="2"/>
      <c r="O7" s="2"/>
      <c r="P7" s="13"/>
      <c r="Q7" s="13"/>
      <c r="R7" s="14"/>
    </row>
    <row r="8" spans="1:21" ht="12.75" customHeight="1" x14ac:dyDescent="0.2">
      <c r="A8" s="4"/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</row>
    <row r="9" spans="1:21" ht="15" customHeight="1" thickBot="1" x14ac:dyDescent="0.25">
      <c r="A9" s="9"/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</row>
    <row r="10" spans="1:21" ht="15" customHeight="1" thickBot="1" x14ac:dyDescent="0.3">
      <c r="A10" s="184" t="s">
        <v>13</v>
      </c>
      <c r="B10" s="182" t="s">
        <v>14</v>
      </c>
      <c r="C10" s="177" t="s">
        <v>15</v>
      </c>
      <c r="D10" s="178"/>
      <c r="E10" s="178"/>
      <c r="F10" s="178"/>
      <c r="G10" s="178"/>
      <c r="H10" s="171"/>
      <c r="I10" s="17" t="s">
        <v>16</v>
      </c>
      <c r="J10" s="16" t="s">
        <v>17</v>
      </c>
      <c r="K10" s="170" t="s">
        <v>18</v>
      </c>
      <c r="L10" s="178"/>
      <c r="M10" s="178"/>
      <c r="N10" s="178"/>
      <c r="O10" s="178"/>
      <c r="P10" s="171"/>
      <c r="Q10" s="18" t="s">
        <v>16</v>
      </c>
      <c r="R10" s="20" t="s">
        <v>17</v>
      </c>
      <c r="S10" s="170" t="s">
        <v>19</v>
      </c>
      <c r="T10" s="171"/>
    </row>
    <row r="11" spans="1:21" ht="13.5" thickBot="1" x14ac:dyDescent="0.25">
      <c r="A11" s="193"/>
      <c r="B11" s="199"/>
      <c r="C11" s="72" t="s">
        <v>20</v>
      </c>
      <c r="D11" s="23" t="s">
        <v>21</v>
      </c>
      <c r="E11" s="23" t="s">
        <v>22</v>
      </c>
      <c r="F11" s="23" t="s">
        <v>23</v>
      </c>
      <c r="G11" s="23" t="s">
        <v>24</v>
      </c>
      <c r="H11" s="64" t="s">
        <v>25</v>
      </c>
      <c r="I11" s="23" t="s">
        <v>26</v>
      </c>
      <c r="J11" s="83" t="s">
        <v>27</v>
      </c>
      <c r="K11" s="23" t="s">
        <v>20</v>
      </c>
      <c r="L11" s="83" t="s">
        <v>21</v>
      </c>
      <c r="M11" s="23" t="s">
        <v>22</v>
      </c>
      <c r="N11" s="83" t="s">
        <v>23</v>
      </c>
      <c r="O11" s="23" t="s">
        <v>24</v>
      </c>
      <c r="P11" s="64" t="s">
        <v>25</v>
      </c>
      <c r="Q11" s="23" t="s">
        <v>71</v>
      </c>
      <c r="R11" s="23" t="s">
        <v>27</v>
      </c>
      <c r="S11" s="23" t="s">
        <v>29</v>
      </c>
      <c r="T11" s="23" t="s">
        <v>30</v>
      </c>
    </row>
    <row r="12" spans="1:21" x14ac:dyDescent="0.2">
      <c r="A12" s="130">
        <v>1</v>
      </c>
      <c r="B12" s="137">
        <v>45292</v>
      </c>
      <c r="C12" s="76">
        <f>[1]Air!$I$4</f>
        <v>14.12280701754386</v>
      </c>
      <c r="D12" s="76">
        <f>[1]Air!$I$5</f>
        <v>14.162037037037036</v>
      </c>
      <c r="E12" s="76">
        <f>[1]Air!$I$6</f>
        <v>14.907407407407407</v>
      </c>
      <c r="F12" s="76">
        <f>[1]Air!$I$7</f>
        <v>15.652777777777779</v>
      </c>
      <c r="G12" s="76">
        <f>[1]Air!$I$8</f>
        <v>10.435185185185185</v>
      </c>
      <c r="H12" s="76">
        <f>[1]Air!$I$9</f>
        <v>11.298245614035087</v>
      </c>
      <c r="I12" s="76">
        <f t="shared" ref="I12:I19" si="0">MAX(C12:H12)</f>
        <v>15.652777777777779</v>
      </c>
      <c r="J12" s="76">
        <f t="shared" ref="J12:J19" si="1">AVERAGE(C12:H12)</f>
        <v>13.429743339831058</v>
      </c>
      <c r="K12" s="76">
        <f>[1]Air!$AA$4</f>
        <v>60.340266453873653</v>
      </c>
      <c r="L12" s="76">
        <f>[1]Air!$AA$5</f>
        <v>66.744335799213843</v>
      </c>
      <c r="M12" s="76">
        <f>[1]Air!$AA$6</f>
        <v>68.270251959276351</v>
      </c>
      <c r="N12" s="76">
        <f>[1]Air!$AA$7</f>
        <v>59.617464062265093</v>
      </c>
      <c r="O12" s="76">
        <f>[1]Air!$AA$8</f>
        <v>57.449056887439426</v>
      </c>
      <c r="P12" s="76">
        <f>[1]Air!$AA$9</f>
        <v>69.736697544784832</v>
      </c>
      <c r="Q12" s="76">
        <f t="shared" ref="Q12:Q19" si="2">MAX(K12:P12)</f>
        <v>69.736697544784832</v>
      </c>
      <c r="R12" s="76">
        <f t="shared" ref="R12:R19" si="3">AVERAGE(K12:P12)</f>
        <v>63.69301211780887</v>
      </c>
      <c r="S12" s="76"/>
      <c r="T12" s="76"/>
    </row>
    <row r="13" spans="1:21" x14ac:dyDescent="0.2">
      <c r="A13" s="131">
        <v>2</v>
      </c>
      <c r="B13" s="80">
        <v>45296</v>
      </c>
      <c r="C13" s="77">
        <f>[1]Air!$I$10</f>
        <v>13.416666666666666</v>
      </c>
      <c r="D13" s="77">
        <f>[1]Air!$I$11</f>
        <v>14.162037037037036</v>
      </c>
      <c r="E13" s="77">
        <f>[1]Air!$I$12</f>
        <v>15.652777777777779</v>
      </c>
      <c r="F13" s="77">
        <f>[1]Air!$I$13</f>
        <v>17.143518518518519</v>
      </c>
      <c r="G13" s="77">
        <f>[1]Air!$I$14</f>
        <v>17.653508771929825</v>
      </c>
      <c r="H13" s="77">
        <f>[1]Air!$I$15</f>
        <v>14.828947368421053</v>
      </c>
      <c r="I13" s="77">
        <f t="shared" si="0"/>
        <v>17.653508771929825</v>
      </c>
      <c r="J13" s="77">
        <f t="shared" si="1"/>
        <v>15.476242690058479</v>
      </c>
      <c r="K13" s="77">
        <f>[1]Air!$AA$10</f>
        <v>56.726254495830879</v>
      </c>
      <c r="L13" s="77">
        <f>[1]Air!$AA$11</f>
        <v>53.835044929396659</v>
      </c>
      <c r="M13" s="77">
        <f>[1]Air!$AA$12</f>
        <v>65.981377719182589</v>
      </c>
      <c r="N13" s="77">
        <f>[1]Air!$AA$13</f>
        <v>45.381509558338827</v>
      </c>
      <c r="O13" s="77">
        <f>[1]Air!$AA$14</f>
        <v>66.744335799213843</v>
      </c>
      <c r="P13" s="77">
        <f>[1]Air!$AA$15</f>
        <v>61.785871237090745</v>
      </c>
      <c r="Q13" s="77">
        <f t="shared" si="2"/>
        <v>66.744335799213843</v>
      </c>
      <c r="R13" s="77">
        <f t="shared" si="3"/>
        <v>58.409065623175593</v>
      </c>
      <c r="S13" s="77"/>
      <c r="T13" s="77"/>
    </row>
    <row r="14" spans="1:21" x14ac:dyDescent="0.2">
      <c r="A14" s="131">
        <v>3</v>
      </c>
      <c r="B14" s="80">
        <v>45299</v>
      </c>
      <c r="C14" s="77">
        <f>[1]Air!$I$16</f>
        <v>14.907407407407407</v>
      </c>
      <c r="D14" s="77">
        <f>[1]Air!$I$17</f>
        <v>11.298245614035087</v>
      </c>
      <c r="E14" s="77">
        <f>[1]Air!$I$18</f>
        <v>11.180555555555555</v>
      </c>
      <c r="F14" s="77">
        <f>[1]Air!$I$19</f>
        <v>10.592105263157896</v>
      </c>
      <c r="G14" s="77">
        <f>[1]Air!$I$20</f>
        <v>10.435185185185185</v>
      </c>
      <c r="H14" s="77">
        <f>[1]Air!$I$21</f>
        <v>12.671296296296296</v>
      </c>
      <c r="I14" s="77">
        <f t="shared" si="0"/>
        <v>14.907407407407407</v>
      </c>
      <c r="J14" s="77">
        <f t="shared" si="1"/>
        <v>11.847465886939572</v>
      </c>
      <c r="K14" s="77">
        <f>[1]Air!$AA$16</f>
        <v>38.65619470561704</v>
      </c>
      <c r="L14" s="77">
        <f>[1]Air!$AA$17</f>
        <v>43.855593398276326</v>
      </c>
      <c r="M14" s="77">
        <f>[1]Air!$AA$18</f>
        <v>37.933392314008486</v>
      </c>
      <c r="N14" s="77">
        <f>[1]Air!$AA$19</f>
        <v>46.607021013311133</v>
      </c>
      <c r="O14" s="77">
        <f>[1]Air!$AA$20</f>
        <v>63.692503479088849</v>
      </c>
      <c r="P14" s="77">
        <f>[1]Air!$AA$21</f>
        <v>61.403629238995094</v>
      </c>
      <c r="Q14" s="77">
        <f t="shared" si="2"/>
        <v>63.692503479088849</v>
      </c>
      <c r="R14" s="77">
        <f t="shared" si="3"/>
        <v>48.691389024882824</v>
      </c>
      <c r="S14" s="77"/>
      <c r="T14" s="77"/>
    </row>
    <row r="15" spans="1:21" x14ac:dyDescent="0.2">
      <c r="A15" s="131">
        <v>4</v>
      </c>
      <c r="B15" s="80">
        <v>45303</v>
      </c>
      <c r="C15" s="77">
        <f>[1]Air!$I$22</f>
        <v>11.298245614035087</v>
      </c>
      <c r="D15" s="77">
        <f>[1]Air!$I$23</f>
        <v>7.4537037037037033</v>
      </c>
      <c r="E15" s="77">
        <f>[1]Air!$I$24</f>
        <v>17.143518518518519</v>
      </c>
      <c r="F15" s="77">
        <f>[1]Air!$I$25</f>
        <v>15.652777777777779</v>
      </c>
      <c r="G15" s="77">
        <f>[1]Air!$I$26</f>
        <v>18.63425925925926</v>
      </c>
      <c r="H15" s="77">
        <f>[1]Air!$I$27</f>
        <v>14.907407407407407</v>
      </c>
      <c r="I15" s="77">
        <f>MAX(C15:H15)</f>
        <v>18.63425925925926</v>
      </c>
      <c r="J15" s="77">
        <f>AVERAGE(C15:H15)</f>
        <v>14.181652046783626</v>
      </c>
      <c r="K15" s="77">
        <f>[1]Air!$AA$22</f>
        <v>72.627907111219059</v>
      </c>
      <c r="L15" s="77">
        <f>[1]Air!$AA$23</f>
        <v>59.617464062265093</v>
      </c>
      <c r="M15" s="77">
        <f>[1]Air!$AA$24</f>
        <v>57.449056887439426</v>
      </c>
      <c r="N15" s="77">
        <f>[1]Air!$AA$25</f>
        <v>67.568290369959172</v>
      </c>
      <c r="O15" s="77">
        <f>[1]Air!$AA$26</f>
        <v>61.785871237090745</v>
      </c>
      <c r="P15" s="77">
        <f>[1]Air!$AA$27</f>
        <v>62.508673628699299</v>
      </c>
      <c r="Q15" s="77">
        <f>MAX(K15:P15)</f>
        <v>72.627907111219059</v>
      </c>
      <c r="R15" s="77">
        <f>AVERAGE(K15:P15)</f>
        <v>63.592877216112136</v>
      </c>
      <c r="S15" s="77"/>
      <c r="T15" s="77"/>
    </row>
    <row r="16" spans="1:21" x14ac:dyDescent="0.2">
      <c r="A16" s="131">
        <v>5</v>
      </c>
      <c r="B16" s="80">
        <v>45306</v>
      </c>
      <c r="C16" s="77">
        <f>[1]Air!$I$28</f>
        <v>14.828947368421053</v>
      </c>
      <c r="D16" s="77">
        <f>[1]Air!$I$29</f>
        <v>15.535087719298245</v>
      </c>
      <c r="E16" s="77">
        <f>[1]Air!$I$30</f>
        <v>14.828947368421053</v>
      </c>
      <c r="F16" s="77">
        <f>[1]Air!$I$31</f>
        <v>12.710526315789474</v>
      </c>
      <c r="G16" s="77">
        <f>[1]Air!$I$32</f>
        <v>13.416666666666666</v>
      </c>
      <c r="H16" s="77">
        <f>[1]Air!$I$33</f>
        <v>12.004385964912281</v>
      </c>
      <c r="I16" s="77">
        <f>MAX(C16:H16)</f>
        <v>15.535087719298245</v>
      </c>
      <c r="J16" s="77">
        <f>AVERAGE(C16:H16)</f>
        <v>13.887426900584794</v>
      </c>
      <c r="K16" s="77">
        <f>[1]Air!$AA$28</f>
        <v>54.557847321005219</v>
      </c>
      <c r="L16" s="77">
        <f>[1]Air!$AA$29</f>
        <v>53.835044929396659</v>
      </c>
      <c r="M16" s="77">
        <f>[1]Air!$AA$30</f>
        <v>56.726254495830879</v>
      </c>
      <c r="N16" s="77">
        <f>[1]Air!$AA$31</f>
        <v>47.329823404919679</v>
      </c>
      <c r="O16" s="77">
        <f>[1]Air!$AA$32</f>
        <v>59.617464062265093</v>
      </c>
      <c r="P16" s="77">
        <f>[1]Air!$AA$33</f>
        <v>60.340266453873653</v>
      </c>
      <c r="Q16" s="77">
        <f>MAX(K16:P16)</f>
        <v>60.340266453873653</v>
      </c>
      <c r="R16" s="77">
        <f>AVERAGE(K16:P16)</f>
        <v>55.40111677788186</v>
      </c>
      <c r="S16" s="77"/>
      <c r="T16" s="77"/>
    </row>
    <row r="17" spans="1:20" x14ac:dyDescent="0.2">
      <c r="A17" s="131">
        <v>6</v>
      </c>
      <c r="B17" s="80">
        <v>45310</v>
      </c>
      <c r="C17" s="77">
        <f>[1]Air!$I$34</f>
        <v>14.907407407407407</v>
      </c>
      <c r="D17" s="77">
        <f>[1]Air!$I$35</f>
        <v>13.416666666666666</v>
      </c>
      <c r="E17" s="77">
        <f>[1]Air!$I$36</f>
        <v>12.671296296296296</v>
      </c>
      <c r="F17" s="77">
        <f>[1]Air!$I$37</f>
        <v>12.710526315789474</v>
      </c>
      <c r="G17" s="77">
        <f>[1]Air!$I$38</f>
        <v>11.298245614035087</v>
      </c>
      <c r="H17" s="77">
        <f>[1]Air!$I$39</f>
        <v>12.004385964912281</v>
      </c>
      <c r="I17" s="77">
        <f t="shared" si="0"/>
        <v>14.907407407407407</v>
      </c>
      <c r="J17" s="77">
        <f t="shared" si="1"/>
        <v>12.8347547108512</v>
      </c>
      <c r="K17" s="77">
        <f>[1]Air!$AA$34</f>
        <v>63.95427841191642</v>
      </c>
      <c r="L17" s="77">
        <f>[1]Air!$AA$35</f>
        <v>62.508673628699299</v>
      </c>
      <c r="M17" s="77">
        <f>[1]Air!$AA$36</f>
        <v>61.785871237090745</v>
      </c>
      <c r="N17" s="77">
        <f>[1]Air!$AA$37</f>
        <v>66.122685586742065</v>
      </c>
      <c r="O17" s="77">
        <f>[1]Air!$AA$38</f>
        <v>81.301535810521699</v>
      </c>
      <c r="P17" s="77">
        <f>[1]Air!$AA$39</f>
        <v>82.747140593738791</v>
      </c>
      <c r="Q17" s="77">
        <f t="shared" si="2"/>
        <v>82.747140593738791</v>
      </c>
      <c r="R17" s="77">
        <f t="shared" si="3"/>
        <v>69.736697544784832</v>
      </c>
      <c r="S17" s="77"/>
      <c r="T17" s="77"/>
    </row>
    <row r="18" spans="1:20" x14ac:dyDescent="0.2">
      <c r="A18" s="131">
        <v>7</v>
      </c>
      <c r="B18" s="80">
        <v>45313</v>
      </c>
      <c r="C18" s="77">
        <f>[1]Air!$I$40</f>
        <v>10.435185185185185</v>
      </c>
      <c r="D18" s="77">
        <f>[1]Air!$I$41</f>
        <v>9.1798245614035086</v>
      </c>
      <c r="E18" s="77">
        <f>[1]Air!$I$42</f>
        <v>10.592105263157896</v>
      </c>
      <c r="F18" s="77">
        <f>[1]Air!$I$43</f>
        <v>10.435185185185185</v>
      </c>
      <c r="G18" s="77">
        <f>[1]Air!$I$44</f>
        <v>11.925925925925926</v>
      </c>
      <c r="H18" s="77">
        <f>[1]Air!$I$45</f>
        <v>9.1798245614035086</v>
      </c>
      <c r="I18" s="77">
        <f t="shared" si="0"/>
        <v>11.925925925925926</v>
      </c>
      <c r="J18" s="77">
        <f t="shared" si="1"/>
        <v>10.291341780376866</v>
      </c>
      <c r="K18" s="77">
        <f>[1]Air!$AA$40</f>
        <v>59.877713078932601</v>
      </c>
      <c r="L18" s="77">
        <f>[1]Air!$AA$41</f>
        <v>57.449056887439426</v>
      </c>
      <c r="M18" s="77">
        <f>[1]Air!$AA$42</f>
        <v>61.785871237090745</v>
      </c>
      <c r="N18" s="77">
        <f>[1]Air!$AA$43</f>
        <v>69.796168119338859</v>
      </c>
      <c r="O18" s="77">
        <f>[1]Air!$AA$44</f>
        <v>61.403629238995094</v>
      </c>
      <c r="P18" s="77">
        <f>[1]Air!$AA$45</f>
        <v>62.508673628699299</v>
      </c>
      <c r="Q18" s="77">
        <f t="shared" si="2"/>
        <v>69.796168119338859</v>
      </c>
      <c r="R18" s="77">
        <f t="shared" si="3"/>
        <v>62.136852031749335</v>
      </c>
      <c r="S18" s="77"/>
      <c r="T18" s="77"/>
    </row>
    <row r="19" spans="1:20" x14ac:dyDescent="0.2">
      <c r="A19" s="131">
        <v>8</v>
      </c>
      <c r="B19" s="80">
        <v>45317</v>
      </c>
      <c r="C19" s="77">
        <f>[1]Air!$I$46</f>
        <v>11.925925925925926</v>
      </c>
      <c r="D19" s="77">
        <f>[1]Air!$I$47</f>
        <v>10.592105263157896</v>
      </c>
      <c r="E19" s="77">
        <f>[1]Air!$I$48</f>
        <v>9.8859649122807021</v>
      </c>
      <c r="F19" s="77">
        <f>[1]Air!$I$49</f>
        <v>13.416666666666666</v>
      </c>
      <c r="G19" s="77">
        <f>[1]Air!$I$50</f>
        <v>9.1798245614035086</v>
      </c>
      <c r="H19" s="77">
        <f>[1]Air!$I$51</f>
        <v>9.8859649122807021</v>
      </c>
      <c r="I19" s="77">
        <f t="shared" si="0"/>
        <v>13.416666666666666</v>
      </c>
      <c r="J19" s="77">
        <f t="shared" si="1"/>
        <v>10.814408706952568</v>
      </c>
      <c r="K19" s="77">
        <f>[1]Air!$AA$46</f>
        <v>58.894661670656546</v>
      </c>
      <c r="L19" s="77">
        <f>[1]Air!$AA$47</f>
        <v>57.449056887439426</v>
      </c>
      <c r="M19" s="77">
        <f>[1]Air!$AA$48</f>
        <v>54.557847321005219</v>
      </c>
      <c r="N19" s="77">
        <f>[1]Air!$AA$49</f>
        <v>59.877713078932601</v>
      </c>
      <c r="O19" s="77">
        <f>[1]Air!$AA$50</f>
        <v>59.617464062265093</v>
      </c>
      <c r="P19" s="77">
        <f>[1]Air!$AA$51</f>
        <v>62.508673628699299</v>
      </c>
      <c r="Q19" s="77">
        <f t="shared" si="2"/>
        <v>62.508673628699299</v>
      </c>
      <c r="R19" s="77">
        <f t="shared" si="3"/>
        <v>58.817569441499693</v>
      </c>
      <c r="S19" s="77"/>
      <c r="T19" s="77"/>
    </row>
    <row r="20" spans="1:20" x14ac:dyDescent="0.2">
      <c r="A20" s="131">
        <v>9</v>
      </c>
      <c r="B20" s="80">
        <v>45320</v>
      </c>
      <c r="C20" s="77">
        <f>[1]Air!$I$52</f>
        <v>10.592105263157896</v>
      </c>
      <c r="D20" s="77">
        <f>[1]Air!$I$53</f>
        <v>11.298245614035087</v>
      </c>
      <c r="E20" s="77">
        <f>[1]Air!$I$54</f>
        <v>14.12280701754386</v>
      </c>
      <c r="F20" s="77">
        <f>[1]Air!$I$55</f>
        <v>9.8859649122807021</v>
      </c>
      <c r="G20" s="77">
        <f>[1]Air!$I$56</f>
        <v>16.241228070175438</v>
      </c>
      <c r="H20" s="77">
        <f>[1]Air!$I$57</f>
        <v>14.828947368421053</v>
      </c>
      <c r="I20" s="77">
        <f>MAX(C20:H20)</f>
        <v>16.241228070175438</v>
      </c>
      <c r="J20" s="77">
        <f>AVERAGE(C20:H20)</f>
        <v>12.828216374269006</v>
      </c>
      <c r="K20" s="77">
        <f>[1]Air!$AA$52</f>
        <v>58.171859279047986</v>
      </c>
      <c r="L20" s="77">
        <f>[1]Air!$AA$53</f>
        <v>57.449056887439426</v>
      </c>
      <c r="M20" s="77">
        <f>[1]Air!$AA$54</f>
        <v>62.508673628699299</v>
      </c>
      <c r="N20" s="77">
        <f>[1]Air!$AA$55</f>
        <v>73.610958519495099</v>
      </c>
      <c r="O20" s="77">
        <f>[1]Air!$AA$56</f>
        <v>63.95427841191642</v>
      </c>
      <c r="P20" s="77">
        <f>[1]Air!$AA$57</f>
        <v>58.894661670656546</v>
      </c>
      <c r="Q20" s="77">
        <f>MAX(K20:P20)</f>
        <v>73.610958519495099</v>
      </c>
      <c r="R20" s="77">
        <f>AVERAGE(K20:P20)</f>
        <v>62.431581399542459</v>
      </c>
      <c r="S20" s="77"/>
      <c r="T20" s="77"/>
    </row>
    <row r="21" spans="1:20" ht="13.5" thickBot="1" x14ac:dyDescent="0.25">
      <c r="A21" s="132"/>
      <c r="B21" s="114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</row>
    <row r="22" spans="1:20" x14ac:dyDescent="0.2">
      <c r="A22" s="37"/>
      <c r="B22" s="103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15.75" x14ac:dyDescent="0.25">
      <c r="A23" s="1"/>
      <c r="B23" s="9"/>
      <c r="C23" s="9"/>
      <c r="D23" s="9"/>
      <c r="E23" s="9"/>
      <c r="F23" s="2"/>
      <c r="G23" s="38"/>
      <c r="M23" s="8"/>
      <c r="N23" s="9"/>
      <c r="S23" s="25"/>
      <c r="T23" s="25"/>
    </row>
    <row r="24" spans="1:20" ht="15.75" x14ac:dyDescent="0.25">
      <c r="A24" s="38" t="s">
        <v>72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2"/>
      <c r="O24" s="2"/>
      <c r="S24" s="25"/>
      <c r="T24" s="25"/>
    </row>
    <row r="25" spans="1:20" x14ac:dyDescent="0.2">
      <c r="A25" s="9" t="s">
        <v>92</v>
      </c>
      <c r="G25" s="2"/>
      <c r="H25" s="2" t="s">
        <v>94</v>
      </c>
      <c r="I25" s="2"/>
      <c r="M25" s="2"/>
      <c r="O25" s="2"/>
    </row>
    <row r="26" spans="1:20" x14ac:dyDescent="0.2">
      <c r="A26" s="2" t="s">
        <v>0</v>
      </c>
      <c r="B26" s="2"/>
      <c r="C26" s="2"/>
      <c r="D26" s="2"/>
      <c r="F26" s="2"/>
      <c r="G26" s="2"/>
      <c r="H26" s="2"/>
      <c r="I26" s="2"/>
      <c r="K26" s="9"/>
      <c r="L26" s="37"/>
      <c r="M26" s="14"/>
      <c r="N26" s="2"/>
      <c r="O26" s="2"/>
    </row>
    <row r="27" spans="1:20" ht="14.25" x14ac:dyDescent="0.2">
      <c r="A27" s="2" t="s">
        <v>4</v>
      </c>
      <c r="B27" s="9"/>
      <c r="H27" s="2" t="s">
        <v>31</v>
      </c>
      <c r="I27" t="s">
        <v>32</v>
      </c>
      <c r="M27" s="2"/>
      <c r="N27" s="2"/>
      <c r="O27" s="2"/>
    </row>
    <row r="28" spans="1:20" x14ac:dyDescent="0.2">
      <c r="A28" s="2" t="s">
        <v>44</v>
      </c>
      <c r="B28" s="9"/>
      <c r="H28" s="6"/>
      <c r="I28" s="2"/>
      <c r="J28" s="2"/>
      <c r="K28" s="6"/>
      <c r="L28" s="2"/>
      <c r="M28" s="2"/>
      <c r="N28" s="2"/>
      <c r="O28" s="2"/>
    </row>
    <row r="29" spans="1:20" x14ac:dyDescent="0.2">
      <c r="A29" s="9" t="s">
        <v>76</v>
      </c>
      <c r="B29" s="9"/>
      <c r="H29" s="6"/>
      <c r="I29" s="2"/>
      <c r="J29" s="2"/>
      <c r="K29" s="6"/>
      <c r="L29" s="2"/>
      <c r="M29" s="2"/>
      <c r="N29" s="2"/>
      <c r="O29" s="2"/>
    </row>
    <row r="30" spans="1:20" ht="13.5" thickBot="1" x14ac:dyDescent="0.25">
      <c r="H30" s="6"/>
      <c r="I30" s="2"/>
      <c r="J30" s="2"/>
      <c r="K30" s="6"/>
      <c r="L30" s="2"/>
      <c r="M30" s="2"/>
      <c r="N30" s="2"/>
      <c r="O30" s="2"/>
    </row>
    <row r="31" spans="1:20" ht="14.25" thickBot="1" x14ac:dyDescent="0.25">
      <c r="A31" s="105"/>
      <c r="B31" s="182" t="s">
        <v>14</v>
      </c>
      <c r="C31" s="170" t="s">
        <v>34</v>
      </c>
      <c r="D31" s="177"/>
      <c r="E31" s="188"/>
      <c r="F31" s="18" t="s">
        <v>35</v>
      </c>
      <c r="G31" s="18" t="s">
        <v>17</v>
      </c>
      <c r="H31" s="170" t="s">
        <v>36</v>
      </c>
      <c r="I31" s="177"/>
      <c r="J31" s="188"/>
      <c r="K31" s="18" t="s">
        <v>35</v>
      </c>
      <c r="L31" s="16" t="s">
        <v>17</v>
      </c>
      <c r="M31" s="191" t="s">
        <v>37</v>
      </c>
      <c r="N31" s="192"/>
      <c r="O31" s="200" t="s">
        <v>46</v>
      </c>
    </row>
    <row r="32" spans="1:20" ht="13.5" customHeight="1" thickBot="1" x14ac:dyDescent="0.25">
      <c r="A32" s="134" t="s">
        <v>13</v>
      </c>
      <c r="B32" s="202"/>
      <c r="C32" s="23" t="s">
        <v>39</v>
      </c>
      <c r="D32" s="72" t="s">
        <v>40</v>
      </c>
      <c r="E32" s="72" t="s">
        <v>41</v>
      </c>
      <c r="F32" s="23" t="s">
        <v>26</v>
      </c>
      <c r="G32" s="23" t="s">
        <v>27</v>
      </c>
      <c r="H32" s="22" t="s">
        <v>39</v>
      </c>
      <c r="I32" s="23" t="s">
        <v>40</v>
      </c>
      <c r="J32" s="72" t="s">
        <v>41</v>
      </c>
      <c r="K32" s="23" t="s">
        <v>26</v>
      </c>
      <c r="L32" s="22" t="s">
        <v>27</v>
      </c>
      <c r="M32" s="82" t="s">
        <v>69</v>
      </c>
      <c r="N32" s="23" t="s">
        <v>70</v>
      </c>
      <c r="O32" s="201"/>
    </row>
    <row r="33" spans="1:20" x14ac:dyDescent="0.2">
      <c r="A33" s="76">
        <v>1</v>
      </c>
      <c r="B33" s="137">
        <v>45292</v>
      </c>
      <c r="C33" s="130">
        <f>'[2]SPM &amp; RSPM'!$S$10</f>
        <v>145.91977869986172</v>
      </c>
      <c r="D33" s="76">
        <f>'[2]SPM &amp; RSPM'!$S$11</f>
        <v>145.61766735679706</v>
      </c>
      <c r="E33" s="140">
        <f>'[2]SPM &amp; RSPM'!$S$12</f>
        <v>201.82555780933095</v>
      </c>
      <c r="F33" s="76">
        <f t="shared" ref="F33:F40" si="4">MAX(C33:E33)</f>
        <v>201.82555780933095</v>
      </c>
      <c r="G33" s="140">
        <f t="shared" ref="G33:G40" si="5">AVERAGE(C33:E33)</f>
        <v>164.45433462199659</v>
      </c>
      <c r="H33" s="76">
        <f>'[2]SPM &amp; RSPM'!$T$10</f>
        <v>177.73167358229617</v>
      </c>
      <c r="I33" s="140">
        <f>'[2]SPM &amp; RSPM'!$T$11</f>
        <v>275.01725327812221</v>
      </c>
      <c r="J33" s="76">
        <f>'[2]SPM &amp; RSPM'!$T$12</f>
        <v>392.49492900608556</v>
      </c>
      <c r="K33" s="140">
        <f t="shared" ref="K33:K40" si="6">MAX(H33:J33)</f>
        <v>392.49492900608556</v>
      </c>
      <c r="L33" s="130">
        <f t="shared" ref="L33:L40" si="7">AVERAGE(H33:J33)</f>
        <v>281.74795195550132</v>
      </c>
      <c r="M33" s="76"/>
      <c r="N33" s="76"/>
      <c r="O33" s="88"/>
      <c r="P33" s="4"/>
    </row>
    <row r="34" spans="1:20" x14ac:dyDescent="0.2">
      <c r="A34" s="77">
        <v>2</v>
      </c>
      <c r="B34" s="80">
        <v>45296</v>
      </c>
      <c r="C34" s="131">
        <f>'[2]SPM &amp; RSPM'!$S$19</f>
        <v>132.28319783197841</v>
      </c>
      <c r="D34" s="77">
        <f>'[2]SPM &amp; RSPM'!$S$20</f>
        <v>142.95392953929544</v>
      </c>
      <c r="E34" s="37">
        <f>'[2]SPM &amp; RSPM'!$S$21</f>
        <v>49.07024793388387</v>
      </c>
      <c r="F34" s="77">
        <f t="shared" si="4"/>
        <v>142.95392953929544</v>
      </c>
      <c r="G34" s="37">
        <f t="shared" si="5"/>
        <v>108.10245843505258</v>
      </c>
      <c r="H34" s="77">
        <f>'[2]SPM &amp; RSPM'!$T$19</f>
        <v>372.96747967479689</v>
      </c>
      <c r="I34" s="37">
        <f>'[2]SPM &amp; RSPM'!$T$20</f>
        <v>153.62466124661248</v>
      </c>
      <c r="J34" s="77">
        <f>'[2]SPM &amp; RSPM'!$T$21</f>
        <v>151.85950413223094</v>
      </c>
      <c r="K34" s="37">
        <f t="shared" si="6"/>
        <v>372.96747967479689</v>
      </c>
      <c r="L34" s="131">
        <f t="shared" si="7"/>
        <v>226.15054835121342</v>
      </c>
      <c r="M34" s="77"/>
      <c r="N34" s="77"/>
      <c r="O34" s="45"/>
    </row>
    <row r="35" spans="1:20" x14ac:dyDescent="0.2">
      <c r="A35" s="77">
        <v>3</v>
      </c>
      <c r="B35" s="80">
        <v>45299</v>
      </c>
      <c r="C35" s="131">
        <f>'[2]SPM &amp; RSPM'!$S$28</f>
        <v>91.065292096220574</v>
      </c>
      <c r="D35" s="77">
        <f>'[2]SPM &amp; RSPM'!$S$29</f>
        <v>82.651670074983329</v>
      </c>
      <c r="E35" s="37">
        <f>'[2]SPM &amp; RSPM'!$S$30</f>
        <v>141.50606709493209</v>
      </c>
      <c r="F35" s="77">
        <f t="shared" si="4"/>
        <v>141.50606709493209</v>
      </c>
      <c r="G35" s="37">
        <f t="shared" si="5"/>
        <v>105.074343088712</v>
      </c>
      <c r="H35" s="77">
        <f>'[2]SPM &amp; RSPM'!$T$28</f>
        <v>204.29553264604868</v>
      </c>
      <c r="I35" s="37">
        <f>'[2]SPM &amp; RSPM'!$T$29</f>
        <v>523.68779822767601</v>
      </c>
      <c r="J35" s="77">
        <f>'[2]SPM &amp; RSPM'!$T$30</f>
        <v>299.07209136331193</v>
      </c>
      <c r="K35" s="37">
        <f t="shared" si="6"/>
        <v>523.68779822767601</v>
      </c>
      <c r="L35" s="131">
        <f t="shared" si="7"/>
        <v>342.35180741234558</v>
      </c>
      <c r="M35" s="77"/>
      <c r="N35" s="77"/>
      <c r="O35" s="41"/>
    </row>
    <row r="36" spans="1:20" x14ac:dyDescent="0.2">
      <c r="A36" s="77">
        <v>4</v>
      </c>
      <c r="B36" s="80">
        <v>45303</v>
      </c>
      <c r="C36" s="131">
        <f>'[2]SPM &amp; RSPM'!$S$37</f>
        <v>113.52401129943469</v>
      </c>
      <c r="D36" s="77">
        <f>'[2]SPM &amp; RSPM'!$S$38</f>
        <v>109.63114754098366</v>
      </c>
      <c r="E36" s="77">
        <f>'[2]SPM &amp; RSPM'!$S$39</f>
        <v>168.97163120567367</v>
      </c>
      <c r="F36" s="77">
        <f>MAX(C36:E36)</f>
        <v>168.97163120567367</v>
      </c>
      <c r="G36" s="37">
        <f>AVERAGE(C36:E36)</f>
        <v>130.70893001536402</v>
      </c>
      <c r="H36" s="77">
        <f>'[2]SPM &amp; RSPM'!$T$37</f>
        <v>145.83333333333297</v>
      </c>
      <c r="I36" s="77">
        <f>'[2]SPM &amp; RSPM'!$T$38</f>
        <v>307.88934426229508</v>
      </c>
      <c r="J36" s="77">
        <f>'[2]SPM &amp; RSPM'!$T$39</f>
        <v>194.14893617021266</v>
      </c>
      <c r="K36" s="37">
        <f>MAX(H36:J36)</f>
        <v>307.88934426229508</v>
      </c>
      <c r="L36" s="131">
        <f>AVERAGE(H36:J36)</f>
        <v>215.95720458861356</v>
      </c>
      <c r="M36" s="77"/>
      <c r="N36" s="77"/>
      <c r="O36" s="41"/>
    </row>
    <row r="37" spans="1:20" x14ac:dyDescent="0.2">
      <c r="A37" s="77">
        <v>5</v>
      </c>
      <c r="B37" s="80">
        <v>45306</v>
      </c>
      <c r="C37" s="131">
        <f>'[2]SPM &amp; RSPM'!$S$46</f>
        <v>137.56063756063702</v>
      </c>
      <c r="D37" s="77">
        <f>'[2]SPM &amp; RSPM'!$S$47</f>
        <v>110.46918767506993</v>
      </c>
      <c r="E37" s="77">
        <f>'[2]SPM &amp; RSPM'!$S$48</f>
        <v>250.41666666666686</v>
      </c>
      <c r="F37" s="77">
        <f>MAX(C37:E37)</f>
        <v>250.41666666666686</v>
      </c>
      <c r="G37" s="37">
        <f>AVERAGE(C37:E37)</f>
        <v>166.14883063412461</v>
      </c>
      <c r="H37" s="77">
        <f>'[2]SPM &amp; RSPM'!$T$46</f>
        <v>334.71933471933414</v>
      </c>
      <c r="I37" s="77">
        <f>'[2]SPM &amp; RSPM'!$T$47</f>
        <v>360.64425770308122</v>
      </c>
      <c r="J37" s="77">
        <f>'[2]SPM &amp; RSPM'!$T$48</f>
        <v>398.95833333333337</v>
      </c>
      <c r="K37" s="37">
        <f>MAX(H37:J37)</f>
        <v>398.95833333333337</v>
      </c>
      <c r="L37" s="131">
        <f>AVERAGE(H37:J37)</f>
        <v>364.77397525191628</v>
      </c>
      <c r="M37" s="77"/>
      <c r="N37" s="77"/>
      <c r="O37" s="41"/>
    </row>
    <row r="38" spans="1:20" x14ac:dyDescent="0.2">
      <c r="A38" s="77">
        <v>6</v>
      </c>
      <c r="B38" s="80">
        <v>45310</v>
      </c>
      <c r="C38" s="131">
        <f>'[2]SPM &amp; RSPM'!$S$55</f>
        <v>155.54378531073499</v>
      </c>
      <c r="D38" s="131">
        <f>'[2]SPM &amp; RSPM'!$S$56</f>
        <v>87.284482758620655</v>
      </c>
      <c r="E38" s="131">
        <f>'[2]SPM &amp; RSPM'!$S$57</f>
        <v>190.14830508474643</v>
      </c>
      <c r="F38" s="77">
        <f t="shared" si="4"/>
        <v>190.14830508474643</v>
      </c>
      <c r="G38" s="37">
        <f t="shared" si="5"/>
        <v>144.32552438470069</v>
      </c>
      <c r="H38" s="77">
        <f>'[2]SPM &amp; RSPM'!$T$55</f>
        <v>200.56497175141288</v>
      </c>
      <c r="I38" s="77">
        <f>'[2]SPM &amp; RSPM'!$T$56</f>
        <v>267.42097701149424</v>
      </c>
      <c r="J38" s="77">
        <f>'[2]SPM &amp; RSPM'!$T$57</f>
        <v>482.16807909604603</v>
      </c>
      <c r="K38" s="37">
        <f t="shared" si="6"/>
        <v>482.16807909604603</v>
      </c>
      <c r="L38" s="131">
        <f t="shared" si="7"/>
        <v>316.71800928631774</v>
      </c>
      <c r="M38" s="77"/>
      <c r="N38" s="77"/>
      <c r="O38" s="41"/>
    </row>
    <row r="39" spans="1:20" x14ac:dyDescent="0.2">
      <c r="A39" s="77">
        <v>7</v>
      </c>
      <c r="B39" s="80">
        <v>45313</v>
      </c>
      <c r="C39" s="131">
        <f>'[2]SPM &amp; RSPM'!$S$64</f>
        <v>108.65191146881283</v>
      </c>
      <c r="D39" s="131">
        <f>'[2]SPM &amp; RSPM'!$S$65</f>
        <v>99.164926931106379</v>
      </c>
      <c r="E39" s="131">
        <f>'[2]SPM &amp; RSPM'!$S$66</f>
        <v>167.02052370842227</v>
      </c>
      <c r="F39" s="77">
        <f t="shared" si="4"/>
        <v>167.02052370842227</v>
      </c>
      <c r="G39" s="37">
        <f t="shared" si="5"/>
        <v>124.94578736944716</v>
      </c>
      <c r="H39" s="77">
        <f>'[2]SPM &amp; RSPM'!$T$64</f>
        <v>275.98926894701538</v>
      </c>
      <c r="I39" s="77">
        <f>'[2]SPM &amp; RSPM'!$T$65</f>
        <v>102.47042449547662</v>
      </c>
      <c r="J39" s="77">
        <f>'[2]SPM &amp; RSPM'!$T$66</f>
        <v>208.5987261146503</v>
      </c>
      <c r="K39" s="37">
        <f t="shared" si="6"/>
        <v>275.98926894701538</v>
      </c>
      <c r="L39" s="131">
        <f t="shared" si="7"/>
        <v>195.68613985238076</v>
      </c>
      <c r="M39" s="77"/>
      <c r="N39" s="77"/>
      <c r="O39" s="41"/>
      <c r="T39" s="27"/>
    </row>
    <row r="40" spans="1:20" ht="12" customHeight="1" x14ac:dyDescent="0.2">
      <c r="A40" s="77">
        <v>8</v>
      </c>
      <c r="B40" s="80">
        <v>45317</v>
      </c>
      <c r="C40" s="131">
        <f>'[2]SPM &amp; RSPM'!$S$73</f>
        <v>104.20841683366771</v>
      </c>
      <c r="D40" s="131">
        <f>'[2]SPM &amp; RSPM'!$S$74</f>
        <v>85.22336769759427</v>
      </c>
      <c r="E40" s="131">
        <f>'[2]SPM &amp; RSPM'!$S$75</f>
        <v>115.30612244897974</v>
      </c>
      <c r="F40" s="77">
        <f t="shared" si="4"/>
        <v>115.30612244897974</v>
      </c>
      <c r="G40" s="37">
        <f t="shared" si="5"/>
        <v>101.57930232674725</v>
      </c>
      <c r="H40" s="77">
        <f>'[2]SPM &amp; RSPM'!$T$73</f>
        <v>184.03473613894494</v>
      </c>
      <c r="I40" s="77">
        <f>'[2]SPM &amp; RSPM'!$T$74</f>
        <v>186.25429553264593</v>
      </c>
      <c r="J40" s="77">
        <f>'[2]SPM &amp; RSPM'!$T$75</f>
        <v>250.68027210884372</v>
      </c>
      <c r="K40" s="37">
        <f t="shared" si="6"/>
        <v>250.68027210884372</v>
      </c>
      <c r="L40" s="131">
        <f t="shared" si="7"/>
        <v>206.98976792681151</v>
      </c>
      <c r="M40" s="77"/>
      <c r="N40" s="77"/>
      <c r="O40" s="41"/>
      <c r="T40" s="27"/>
    </row>
    <row r="41" spans="1:20" ht="15" customHeight="1" x14ac:dyDescent="0.2">
      <c r="A41" s="77">
        <v>9</v>
      </c>
      <c r="B41" s="80">
        <v>45320</v>
      </c>
      <c r="C41" s="131">
        <f>'[2]SPM &amp; RSPM'!$S$82</f>
        <v>83.521021021021397</v>
      </c>
      <c r="D41" s="131">
        <f>'[2]SPM &amp; RSPM'!$S$83</f>
        <v>102.92022792022767</v>
      </c>
      <c r="E41" s="131">
        <f>'[2]SPM &amp; RSPM'!$S$84</f>
        <v>125.60890744606827</v>
      </c>
      <c r="F41" s="77">
        <f>MAX(C41:E41)</f>
        <v>125.60890744606827</v>
      </c>
      <c r="G41" s="37">
        <f>AVERAGE(C41:E41)</f>
        <v>104.01671879577243</v>
      </c>
      <c r="H41" s="77">
        <f>'[2]SPM &amp; RSPM'!$T$82</f>
        <v>166.47897897897937</v>
      </c>
      <c r="I41" s="77">
        <f>'[2]SPM &amp; RSPM'!$T$83</f>
        <v>128.73931623931591</v>
      </c>
      <c r="J41" s="77">
        <f>'[2]SPM &amp; RSPM'!$T$84</f>
        <v>302.01809324982611</v>
      </c>
      <c r="K41" s="37">
        <f>MAX(H41:J41)</f>
        <v>302.01809324982611</v>
      </c>
      <c r="L41" s="131">
        <f>AVERAGE(H41:J41)</f>
        <v>199.07879615604045</v>
      </c>
      <c r="M41" s="77"/>
      <c r="N41" s="77"/>
      <c r="O41" s="41"/>
      <c r="T41" s="27"/>
    </row>
    <row r="42" spans="1:20" ht="15" customHeight="1" thickBot="1" x14ac:dyDescent="0.25">
      <c r="A42" s="78"/>
      <c r="B42" s="114"/>
      <c r="C42" s="132"/>
      <c r="D42" s="132"/>
      <c r="E42" s="132"/>
      <c r="F42" s="78"/>
      <c r="G42" s="128"/>
      <c r="H42" s="78"/>
      <c r="I42" s="78"/>
      <c r="J42" s="78"/>
      <c r="K42" s="128"/>
      <c r="L42" s="132"/>
      <c r="M42" s="78"/>
      <c r="N42" s="78"/>
      <c r="O42" s="162"/>
      <c r="T42" s="27"/>
    </row>
    <row r="43" spans="1:20" ht="13.5" thickBot="1" x14ac:dyDescent="0.25">
      <c r="A43" s="25"/>
      <c r="B43" s="95"/>
      <c r="G43" s="28"/>
      <c r="H43" s="28"/>
      <c r="I43" s="28"/>
      <c r="M43" s="37"/>
      <c r="N43" s="37"/>
    </row>
    <row r="44" spans="1:20" ht="13.5" thickBot="1" x14ac:dyDescent="0.25">
      <c r="D44" s="116"/>
      <c r="E44" s="117" t="s">
        <v>86</v>
      </c>
      <c r="F44" s="117" t="s">
        <v>87</v>
      </c>
      <c r="G44" s="117" t="s">
        <v>34</v>
      </c>
      <c r="H44" s="102" t="s">
        <v>36</v>
      </c>
      <c r="I44" s="28"/>
      <c r="L44" s="95"/>
    </row>
    <row r="45" spans="1:20" ht="15.75" customHeight="1" x14ac:dyDescent="0.2">
      <c r="D45" s="106" t="s">
        <v>1</v>
      </c>
      <c r="E45" s="33">
        <f>COUNT(C12:H21)</f>
        <v>54</v>
      </c>
      <c r="F45" s="36">
        <f>COUNT(K12:P21)</f>
        <v>54</v>
      </c>
      <c r="G45" s="36">
        <f>COUNT(C33:E42)</f>
        <v>27</v>
      </c>
      <c r="H45" s="110">
        <f>COUNT(H33:J42)</f>
        <v>27</v>
      </c>
      <c r="I45" s="28"/>
    </row>
    <row r="46" spans="1:20" x14ac:dyDescent="0.2">
      <c r="D46" s="106" t="s">
        <v>55</v>
      </c>
      <c r="E46" s="36">
        <f>AVERAGE(C12:H21)</f>
        <v>12.843472492960798</v>
      </c>
      <c r="F46" s="36">
        <f>AVERAGE(K12:P21)</f>
        <v>60.323351241937523</v>
      </c>
      <c r="G46" s="36">
        <f>AVERAGE(C33:E42)</f>
        <v>127.70624774132415</v>
      </c>
      <c r="H46" s="110">
        <f>AVERAGE(H33:J42)</f>
        <v>261.05046675346</v>
      </c>
      <c r="I46" s="28"/>
      <c r="J46" s="14"/>
      <c r="K46" s="14"/>
    </row>
    <row r="47" spans="1:20" ht="15.75" customHeight="1" x14ac:dyDescent="0.2">
      <c r="D47" s="106" t="s">
        <v>56</v>
      </c>
      <c r="E47" s="36">
        <f>STDEV(C12:H21)</f>
        <v>2.5100204760202502</v>
      </c>
      <c r="F47" s="36">
        <f>STDEV(K12:P21)</f>
        <v>8.5081631554253292</v>
      </c>
      <c r="G47" s="36">
        <f>STDEV(C33:E39)</f>
        <v>45.714609669909962</v>
      </c>
      <c r="H47" s="36">
        <f>STDEV(H33:J39)</f>
        <v>114.73916788578732</v>
      </c>
      <c r="L47" s="112"/>
    </row>
    <row r="48" spans="1:20" x14ac:dyDescent="0.2">
      <c r="D48" s="106" t="s">
        <v>57</v>
      </c>
      <c r="E48" s="36">
        <f>MAX(C12:H21)</f>
        <v>18.63425925925926</v>
      </c>
      <c r="F48" s="36">
        <f>MAXA(K12:P21)</f>
        <v>82.747140593738791</v>
      </c>
      <c r="G48" s="36">
        <f>MAXA(C33:E42)</f>
        <v>250.41666666666686</v>
      </c>
      <c r="H48" s="36">
        <f>MAXA(H33:J42)</f>
        <v>523.68779822767601</v>
      </c>
    </row>
    <row r="49" spans="4:8" ht="15.75" customHeight="1" thickBot="1" x14ac:dyDescent="0.25">
      <c r="D49" s="107" t="s">
        <v>58</v>
      </c>
      <c r="E49" s="104">
        <f>GEOMEAN(C12:H21)</f>
        <v>12.600417070875475</v>
      </c>
      <c r="F49" s="104">
        <f>GEOMEAN(K12:P21)</f>
        <v>59.698186587602912</v>
      </c>
      <c r="G49" s="104">
        <f>GEOMEAN(C33:E42)</f>
        <v>121.06100441949218</v>
      </c>
      <c r="H49" s="104">
        <f>GEOMEAN(H33:J42)</f>
        <v>240.28039226354716</v>
      </c>
    </row>
    <row r="54" spans="4:8" ht="16.5" customHeight="1" x14ac:dyDescent="0.2"/>
    <row r="55" spans="4:8" ht="15.75" customHeight="1" x14ac:dyDescent="0.2"/>
  </sheetData>
  <mergeCells count="16">
    <mergeCell ref="S10:T10"/>
    <mergeCell ref="C10:H10"/>
    <mergeCell ref="B10:B11"/>
    <mergeCell ref="H31:J31"/>
    <mergeCell ref="K10:P10"/>
    <mergeCell ref="C31:E31"/>
    <mergeCell ref="M31:N31"/>
    <mergeCell ref="O31:O32"/>
    <mergeCell ref="B31:B32"/>
    <mergeCell ref="A10:A11"/>
    <mergeCell ref="A1:O1"/>
    <mergeCell ref="L3:M3"/>
    <mergeCell ref="L5:M5"/>
    <mergeCell ref="L4:M4"/>
    <mergeCell ref="A6:B6"/>
    <mergeCell ref="A7:K7"/>
  </mergeCells>
  <phoneticPr fontId="0" type="noConversion"/>
  <pageMargins left="0.75" right="0.75" top="1" bottom="1" header="0.5" footer="0.5"/>
  <pageSetup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68"/>
  <sheetViews>
    <sheetView topLeftCell="A13" zoomScaleNormal="100" workbookViewId="0">
      <selection activeCell="D50" sqref="D50"/>
    </sheetView>
  </sheetViews>
  <sheetFormatPr defaultRowHeight="12.75" x14ac:dyDescent="0.2"/>
  <cols>
    <col min="1" max="1" width="7" customWidth="1"/>
    <col min="2" max="2" width="10" customWidth="1"/>
    <col min="3" max="3" width="6.5703125" customWidth="1"/>
    <col min="4" max="4" width="6.85546875" customWidth="1"/>
    <col min="5" max="5" width="6.28515625" customWidth="1"/>
    <col min="6" max="6" width="7.5703125" customWidth="1"/>
    <col min="7" max="7" width="8" customWidth="1"/>
    <col min="8" max="8" width="7.140625" customWidth="1"/>
    <col min="9" max="9" width="7.42578125" customWidth="1"/>
    <col min="10" max="10" width="8.5703125" customWidth="1"/>
    <col min="11" max="11" width="8.42578125" customWidth="1"/>
    <col min="12" max="14" width="8.5703125" customWidth="1"/>
    <col min="15" max="15" width="9.28515625" customWidth="1"/>
    <col min="16" max="20" width="8.5703125" customWidth="1"/>
  </cols>
  <sheetData>
    <row r="1" spans="1:21" ht="18.75" x14ac:dyDescent="0.35">
      <c r="A1" s="38" t="s">
        <v>77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1"/>
    </row>
    <row r="2" spans="1:21" ht="13.5" thickBot="1" x14ac:dyDescent="0.25">
      <c r="A2" s="2" t="s">
        <v>81</v>
      </c>
      <c r="J2" s="2"/>
      <c r="K2" s="14"/>
      <c r="L2" s="14"/>
      <c r="M2" s="14"/>
      <c r="N2" s="2"/>
      <c r="O2" s="2"/>
      <c r="S2" s="1"/>
      <c r="T2" s="1"/>
    </row>
    <row r="3" spans="1:21" ht="13.5" thickBot="1" x14ac:dyDescent="0.25">
      <c r="A3" s="2" t="s">
        <v>83</v>
      </c>
      <c r="K3" s="170" t="s">
        <v>2</v>
      </c>
      <c r="L3" s="188"/>
      <c r="M3" s="17" t="s">
        <v>3</v>
      </c>
      <c r="Q3" s="1"/>
    </row>
    <row r="4" spans="1:21" ht="15.75" x14ac:dyDescent="0.3">
      <c r="A4" s="2" t="s">
        <v>4</v>
      </c>
      <c r="G4" s="2" t="s">
        <v>94</v>
      </c>
      <c r="H4" s="2"/>
      <c r="J4" s="9"/>
      <c r="K4" s="206" t="s">
        <v>6</v>
      </c>
      <c r="L4" s="207"/>
      <c r="M4" s="43" t="s">
        <v>7</v>
      </c>
    </row>
    <row r="5" spans="1:21" ht="16.5" thickBot="1" x14ac:dyDescent="0.35">
      <c r="A5" s="205" t="s">
        <v>89</v>
      </c>
      <c r="B5" s="205"/>
      <c r="C5" s="205"/>
      <c r="D5" s="63"/>
      <c r="E5" s="2"/>
      <c r="F5" s="2"/>
      <c r="G5" s="2"/>
      <c r="H5" s="2"/>
      <c r="I5" s="2"/>
      <c r="J5" s="2"/>
      <c r="K5" s="180" t="s">
        <v>9</v>
      </c>
      <c r="L5" s="208"/>
      <c r="M5" s="44" t="s">
        <v>7</v>
      </c>
    </row>
    <row r="6" spans="1:21" x14ac:dyDescent="0.2">
      <c r="A6" s="169" t="s">
        <v>78</v>
      </c>
      <c r="B6" s="169"/>
      <c r="F6" s="2"/>
      <c r="G6" s="40"/>
      <c r="H6" s="9"/>
      <c r="I6" s="2"/>
      <c r="J6" s="2"/>
      <c r="K6" s="5" t="s">
        <v>5</v>
      </c>
      <c r="L6" s="6"/>
    </row>
    <row r="7" spans="1:21" x14ac:dyDescent="0.2">
      <c r="A7" s="179" t="s">
        <v>12</v>
      </c>
      <c r="B7" s="179"/>
      <c r="C7" s="179"/>
      <c r="D7" s="179"/>
      <c r="E7" s="179"/>
      <c r="F7" s="179"/>
      <c r="G7" s="179"/>
      <c r="H7" s="179"/>
      <c r="I7" s="179"/>
      <c r="J7" s="179"/>
      <c r="K7" s="2"/>
      <c r="L7" s="2"/>
      <c r="M7" s="2"/>
      <c r="N7" s="13"/>
      <c r="O7" s="14"/>
      <c r="P7" s="2"/>
      <c r="Q7" s="2"/>
    </row>
    <row r="8" spans="1:21" ht="12.75" customHeight="1" x14ac:dyDescent="0.2">
      <c r="A8" s="4"/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</row>
    <row r="9" spans="1:21" ht="13.5" thickBot="1" x14ac:dyDescent="0.25">
      <c r="A9" s="108"/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</row>
    <row r="10" spans="1:21" ht="18" customHeight="1" thickBot="1" x14ac:dyDescent="0.3">
      <c r="A10" s="182" t="s">
        <v>13</v>
      </c>
      <c r="B10" s="182" t="s">
        <v>14</v>
      </c>
      <c r="C10" s="170" t="s">
        <v>15</v>
      </c>
      <c r="D10" s="177"/>
      <c r="E10" s="177"/>
      <c r="F10" s="177"/>
      <c r="G10" s="177"/>
      <c r="H10" s="188"/>
      <c r="I10" s="17" t="s">
        <v>16</v>
      </c>
      <c r="J10" s="18" t="s">
        <v>17</v>
      </c>
      <c r="K10" s="184" t="s">
        <v>18</v>
      </c>
      <c r="L10" s="177"/>
      <c r="M10" s="190"/>
      <c r="N10" s="177"/>
      <c r="O10" s="190"/>
      <c r="P10" s="188"/>
      <c r="Q10" s="18" t="s">
        <v>16</v>
      </c>
      <c r="R10" s="20" t="s">
        <v>17</v>
      </c>
      <c r="S10" s="203" t="s">
        <v>19</v>
      </c>
      <c r="T10" s="204"/>
      <c r="U10" s="182" t="s">
        <v>46</v>
      </c>
    </row>
    <row r="11" spans="1:21" ht="13.5" thickBot="1" x14ac:dyDescent="0.25">
      <c r="A11" s="183"/>
      <c r="B11" s="210" t="s">
        <v>14</v>
      </c>
      <c r="C11" s="21" t="s">
        <v>20</v>
      </c>
      <c r="D11" s="152" t="s">
        <v>21</v>
      </c>
      <c r="E11" s="21" t="s">
        <v>22</v>
      </c>
      <c r="F11" s="152" t="s">
        <v>23</v>
      </c>
      <c r="G11" s="21" t="s">
        <v>24</v>
      </c>
      <c r="H11" s="153" t="s">
        <v>25</v>
      </c>
      <c r="I11" s="21" t="s">
        <v>26</v>
      </c>
      <c r="J11" s="165" t="s">
        <v>27</v>
      </c>
      <c r="K11" s="147" t="s">
        <v>20</v>
      </c>
      <c r="L11" s="21" t="s">
        <v>21</v>
      </c>
      <c r="M11" s="79" t="s">
        <v>22</v>
      </c>
      <c r="N11" s="152" t="s">
        <v>23</v>
      </c>
      <c r="O11" s="21" t="s">
        <v>24</v>
      </c>
      <c r="P11" s="166" t="s">
        <v>25</v>
      </c>
      <c r="Q11" s="21" t="s">
        <v>26</v>
      </c>
      <c r="R11" s="147" t="s">
        <v>27</v>
      </c>
      <c r="S11" s="21" t="s">
        <v>29</v>
      </c>
      <c r="T11" s="21" t="s">
        <v>30</v>
      </c>
      <c r="U11" s="183"/>
    </row>
    <row r="12" spans="1:21" x14ac:dyDescent="0.2">
      <c r="A12" s="141">
        <v>1</v>
      </c>
      <c r="B12" s="137">
        <v>45294</v>
      </c>
      <c r="C12" s="130">
        <f>[1]Air!$N$4</f>
        <v>17.653508771929825</v>
      </c>
      <c r="D12" s="76">
        <f>[1]Air!$N$5</f>
        <v>10.733333333333333</v>
      </c>
      <c r="E12" s="140">
        <f>[1]Air!$N$6</f>
        <v>10.592105263157896</v>
      </c>
      <c r="F12" s="76">
        <f>[1]Air!$N$7</f>
        <v>10.435185185185185</v>
      </c>
      <c r="G12" s="140">
        <f>[1]Air!$N$8</f>
        <v>13.416666666666666</v>
      </c>
      <c r="H12" s="130">
        <f>[1]Air!$N$9</f>
        <v>14.12280701754386</v>
      </c>
      <c r="I12" s="76">
        <f t="shared" ref="I12:I18" si="0">MAX(C12:H12)</f>
        <v>17.653508771929825</v>
      </c>
      <c r="J12" s="76">
        <f t="shared" ref="J12:J18" si="1">AVERAGE(C12:H12)</f>
        <v>12.825601039636126</v>
      </c>
      <c r="K12" s="140">
        <f>[1]Air!$AG$4</f>
        <v>57.588838838838846</v>
      </c>
      <c r="L12" s="76">
        <f>[1]Air!$AG$5</f>
        <v>56.726254495830879</v>
      </c>
      <c r="M12" s="140">
        <f>[1]Air!$AG$6</f>
        <v>56.825880758807585</v>
      </c>
      <c r="N12" s="76">
        <f>[1]Air!$AG$7</f>
        <v>60.640671158963841</v>
      </c>
      <c r="O12" s="140">
        <f>[1]Air!$AG$8</f>
        <v>61.785871237090745</v>
      </c>
      <c r="P12" s="76">
        <f>[1]Air!$AG$9</f>
        <v>58.351796918870086</v>
      </c>
      <c r="Q12" s="76">
        <f t="shared" ref="Q12:Q18" si="2">MAX(K12:P12)</f>
        <v>61.785871237090745</v>
      </c>
      <c r="R12" s="142">
        <f t="shared" ref="R12:R18" si="3">AVERAGE(K12:P12)</f>
        <v>58.653218901400329</v>
      </c>
      <c r="S12" s="163"/>
      <c r="T12" s="1"/>
      <c r="U12" s="32"/>
    </row>
    <row r="13" spans="1:21" x14ac:dyDescent="0.2">
      <c r="A13" s="143">
        <v>2</v>
      </c>
      <c r="B13" s="80">
        <v>45297</v>
      </c>
      <c r="C13" s="131">
        <f>[1]Air!$N$10</f>
        <v>9.3916666666666675</v>
      </c>
      <c r="D13" s="77">
        <f>[1]Air!$N$11</f>
        <v>11.15701754385965</v>
      </c>
      <c r="E13" s="37">
        <f>[1]Air!$N$12</f>
        <v>13.416666666666666</v>
      </c>
      <c r="F13" s="77">
        <f>[1]Air!$N$13</f>
        <v>16.241228070175438</v>
      </c>
      <c r="G13" s="37">
        <f>[1]Air!$N$14</f>
        <v>14.828947368421053</v>
      </c>
      <c r="H13" s="131">
        <f>[1]Air!$N$15</f>
        <v>17.143518518518519</v>
      </c>
      <c r="I13" s="77">
        <f t="shared" si="0"/>
        <v>17.143518518518519</v>
      </c>
      <c r="J13" s="77">
        <f t="shared" si="1"/>
        <v>13.696507472384665</v>
      </c>
      <c r="K13" s="37">
        <f>[1]Air!$AG$10</f>
        <v>59.877713078932601</v>
      </c>
      <c r="L13" s="77">
        <f>[1]Air!$AG$11</f>
        <v>57.449056887439426</v>
      </c>
      <c r="M13" s="37">
        <f>[1]Air!$AG$12</f>
        <v>64.45546155912011</v>
      </c>
      <c r="N13" s="77">
        <f>[1]Air!$AG$13</f>
        <v>61.785871237090745</v>
      </c>
      <c r="O13" s="37">
        <f>[1]Air!$AG$14</f>
        <v>69.736697544784832</v>
      </c>
      <c r="P13" s="77">
        <f>[1]Air!$AG$15</f>
        <v>61.785871237090745</v>
      </c>
      <c r="Q13" s="77">
        <f t="shared" si="2"/>
        <v>69.736697544784832</v>
      </c>
      <c r="R13" s="109">
        <f t="shared" si="3"/>
        <v>62.515111924076415</v>
      </c>
      <c r="S13" s="77"/>
      <c r="T13" s="109"/>
      <c r="U13" s="24"/>
    </row>
    <row r="14" spans="1:21" x14ac:dyDescent="0.2">
      <c r="A14" s="143">
        <v>3</v>
      </c>
      <c r="B14" s="80">
        <v>45301</v>
      </c>
      <c r="C14" s="131">
        <f>[1]Air!$N$16</f>
        <v>16.94736842105263</v>
      </c>
      <c r="D14" s="77">
        <f>[1]Air!$N$17</f>
        <v>16.770833333333332</v>
      </c>
      <c r="E14" s="37">
        <f>[1]Air!$N$18</f>
        <v>16.241228070175438</v>
      </c>
      <c r="F14" s="77">
        <f>[1]Air!$N$19</f>
        <v>15.652777777777779</v>
      </c>
      <c r="G14" s="37">
        <f>[1]Air!$N$20</f>
        <v>18.63425925925926</v>
      </c>
      <c r="H14" s="131">
        <f>[1]Air!$N$21</f>
        <v>14.907407407407407</v>
      </c>
      <c r="I14" s="77">
        <f t="shared" si="0"/>
        <v>18.63425925925926</v>
      </c>
      <c r="J14" s="77">
        <f t="shared" si="1"/>
        <v>16.525645711500974</v>
      </c>
      <c r="K14" s="37">
        <f>[1]Air!$AG$16</f>
        <v>67.568290369959172</v>
      </c>
      <c r="L14" s="77">
        <f>[1]Air!$AG$17</f>
        <v>70.459499936393399</v>
      </c>
      <c r="M14" s="37">
        <f>[1]Air!$AG$18</f>
        <v>62.508673628699299</v>
      </c>
      <c r="N14" s="77">
        <f>[1]Air!$AG$19</f>
        <v>59.877713078932601</v>
      </c>
      <c r="O14" s="37">
        <f>[1]Air!$AG$20</f>
        <v>67.507293879245097</v>
      </c>
      <c r="P14" s="77">
        <f>[1]Air!$AG$21</f>
        <v>65.21841963915135</v>
      </c>
      <c r="Q14" s="77">
        <f t="shared" si="2"/>
        <v>70.459499936393399</v>
      </c>
      <c r="R14" s="109">
        <f t="shared" si="3"/>
        <v>65.523315088730158</v>
      </c>
      <c r="S14" s="77"/>
      <c r="T14" s="109"/>
      <c r="U14" s="24"/>
    </row>
    <row r="15" spans="1:21" x14ac:dyDescent="0.2">
      <c r="A15" s="143">
        <v>4</v>
      </c>
      <c r="B15" s="80">
        <v>45304</v>
      </c>
      <c r="C15" s="131">
        <f>[1]Air!$N$22</f>
        <v>14.828947368421053</v>
      </c>
      <c r="D15" s="131">
        <f>[1]Air!$N$23</f>
        <v>12.074999999999999</v>
      </c>
      <c r="E15" s="131">
        <f>[1]Air!$N$24</f>
        <v>13.416666666666666</v>
      </c>
      <c r="F15" s="77">
        <f>[1]Air!$N$25</f>
        <v>12.671296296296296</v>
      </c>
      <c r="G15" s="131">
        <f>[1]Air!$N$26</f>
        <v>11.925925925925926</v>
      </c>
      <c r="H15" s="131">
        <f>[1]Air!$N$27</f>
        <v>9.6898148148148149</v>
      </c>
      <c r="I15" s="77">
        <f>MAX(C15:H15)</f>
        <v>14.828947368421053</v>
      </c>
      <c r="J15" s="77">
        <f>AVERAGE(C15:H15)</f>
        <v>12.434608512020793</v>
      </c>
      <c r="K15" s="37">
        <f>[1]Air!$AG$22</f>
        <v>62.508673628699299</v>
      </c>
      <c r="L15" s="77">
        <f>[1]Air!$AG$23</f>
        <v>64.45546155912011</v>
      </c>
      <c r="M15" s="37">
        <f>[1]Air!$AG$24</f>
        <v>64.677080803524973</v>
      </c>
      <c r="N15" s="77">
        <f>[1]Air!$AG$25</f>
        <v>74.373916599526368</v>
      </c>
      <c r="O15" s="37">
        <f>[1]Air!$AG$26</f>
        <v>69.033210039307605</v>
      </c>
      <c r="P15" s="77">
        <f>[1]Air!$AG$27</f>
        <v>66.122685586742065</v>
      </c>
      <c r="Q15" s="77">
        <f>MAX(K15:P15)</f>
        <v>74.373916599526368</v>
      </c>
      <c r="R15" s="109">
        <f>AVERAGE(K15:P15)</f>
        <v>66.861838036153401</v>
      </c>
      <c r="S15" s="77"/>
      <c r="T15" s="109"/>
      <c r="U15" s="77"/>
    </row>
    <row r="16" spans="1:21" x14ac:dyDescent="0.2">
      <c r="A16" s="143">
        <v>5</v>
      </c>
      <c r="B16" s="80">
        <v>45308</v>
      </c>
      <c r="C16" s="131">
        <f>[1]Air!$N$28</f>
        <v>9.8859649122807021</v>
      </c>
      <c r="D16" s="131">
        <f>[1]Air!$N$29</f>
        <v>12.074999999999999</v>
      </c>
      <c r="E16" s="131">
        <f>[1]Air!$N$30</f>
        <v>14.12280701754386</v>
      </c>
      <c r="F16" s="77">
        <f>[1]Air!$N$31</f>
        <v>13.416666666666666</v>
      </c>
      <c r="G16" s="131">
        <f>[1]Air!$N$32</f>
        <v>16.398148148148149</v>
      </c>
      <c r="H16" s="131">
        <f>[1]Air!$N$33</f>
        <v>14.12280701754386</v>
      </c>
      <c r="I16" s="77">
        <f>MAX(C16:H16)</f>
        <v>16.398148148148149</v>
      </c>
      <c r="J16" s="77">
        <f>AVERAGE(C16:H16)</f>
        <v>13.336898960363873</v>
      </c>
      <c r="K16" s="37">
        <f>[1]Air!$AG$28</f>
        <v>71.182302328001953</v>
      </c>
      <c r="L16" s="77">
        <f>[1]Air!$AG$29</f>
        <v>69.736697544784832</v>
      </c>
      <c r="M16" s="37">
        <f>[1]Air!$AG$30</f>
        <v>84.292371639932625</v>
      </c>
      <c r="N16" s="77">
        <f>[1]Air!$AG$31</f>
        <v>78.188706999682609</v>
      </c>
      <c r="O16" s="37">
        <f>[1]Air!$AG$32</f>
        <v>78.951665079713848</v>
      </c>
      <c r="P16" s="77">
        <f>[1]Air!$AG$33</f>
        <v>64.677080803524973</v>
      </c>
      <c r="Q16" s="77">
        <f>MAX(K16:P16)</f>
        <v>84.292371639932625</v>
      </c>
      <c r="R16" s="109">
        <f>AVERAGE(K16:P16)</f>
        <v>74.504804065940149</v>
      </c>
      <c r="S16" s="77"/>
      <c r="T16" s="109"/>
      <c r="U16" s="77"/>
    </row>
    <row r="17" spans="1:21" x14ac:dyDescent="0.2">
      <c r="A17" s="143">
        <v>6</v>
      </c>
      <c r="B17" s="80">
        <v>45311</v>
      </c>
      <c r="C17" s="131">
        <f>[1]Air!$N$34</f>
        <v>10.592105263157896</v>
      </c>
      <c r="D17" s="131">
        <f>[1]Air!$N$35</f>
        <v>9.1798245614035086</v>
      </c>
      <c r="E17" s="131">
        <f>[1]Air!$N$36</f>
        <v>9.3916666666666675</v>
      </c>
      <c r="F17" s="77">
        <f>[1]Air!$N$37</f>
        <v>11.298245614035087</v>
      </c>
      <c r="G17" s="131">
        <f>[1]Air!$N$38</f>
        <v>10.592105263157896</v>
      </c>
      <c r="H17" s="131">
        <f>[1]Air!$N$39</f>
        <v>9.3916666666666675</v>
      </c>
      <c r="I17" s="77">
        <f t="shared" si="0"/>
        <v>11.298245614035087</v>
      </c>
      <c r="J17" s="77">
        <f t="shared" si="1"/>
        <v>10.074269005847954</v>
      </c>
      <c r="K17" s="37">
        <f>[1]Air!$AG$34</f>
        <v>61.063068845482206</v>
      </c>
      <c r="L17" s="77">
        <f>[1]Air!$AG$35</f>
        <v>66.744335799213843</v>
      </c>
      <c r="M17" s="37">
        <f>[1]Air!$AG$36</f>
        <v>59.617464062265093</v>
      </c>
      <c r="N17" s="77">
        <f>[1]Air!$AG$37</f>
        <v>60.640671158963841</v>
      </c>
      <c r="O17" s="37">
        <f>[1]Air!$AG$38</f>
        <v>79.71462315974513</v>
      </c>
      <c r="P17" s="77">
        <f>[1]Air!$AG$39</f>
        <v>76.964721460870365</v>
      </c>
      <c r="Q17" s="77">
        <f t="shared" si="2"/>
        <v>79.71462315974513</v>
      </c>
      <c r="R17" s="109">
        <f t="shared" si="3"/>
        <v>67.457480747756748</v>
      </c>
      <c r="S17" s="77"/>
      <c r="T17" s="109"/>
      <c r="U17" s="146"/>
    </row>
    <row r="18" spans="1:21" x14ac:dyDescent="0.2">
      <c r="A18" s="143">
        <v>7</v>
      </c>
      <c r="B18" s="80">
        <v>45315</v>
      </c>
      <c r="C18" s="131">
        <f>[1]Air!$N$40</f>
        <v>13.416666666666666</v>
      </c>
      <c r="D18" s="131">
        <f>[1]Air!$N$41</f>
        <v>13.416666666666666</v>
      </c>
      <c r="E18" s="131">
        <f>[1]Air!$N$42</f>
        <v>17.143518518518519</v>
      </c>
      <c r="F18" s="77">
        <f>[1]Air!$N$43</f>
        <v>16.94736842105263</v>
      </c>
      <c r="G18" s="131">
        <f>[1]Air!$N$44</f>
        <v>15.535087719298245</v>
      </c>
      <c r="H18" s="131">
        <f>[1]Air!$N$45</f>
        <v>14.907407407407407</v>
      </c>
      <c r="I18" s="77">
        <f t="shared" si="0"/>
        <v>17.143518518518519</v>
      </c>
      <c r="J18" s="77">
        <f t="shared" si="1"/>
        <v>15.227785899935022</v>
      </c>
      <c r="K18" s="37">
        <f>[1]Air!$AG$40</f>
        <v>65.21841963915135</v>
      </c>
      <c r="L18" s="77">
        <f>[1]Air!$AG$41</f>
        <v>81.301535810521699</v>
      </c>
      <c r="M18" s="37">
        <f>[1]Air!$AG$42</f>
        <v>63.231476020307845</v>
      </c>
      <c r="N18" s="77">
        <f>[1]Air!$AG$43</f>
        <v>64.677080803524973</v>
      </c>
      <c r="O18" s="37">
        <f>[1]Air!$AG$44</f>
        <v>74.073511894436152</v>
      </c>
      <c r="P18" s="77">
        <f>[1]Air!$AG$45</f>
        <v>85.055329719963879</v>
      </c>
      <c r="Q18" s="77">
        <f t="shared" si="2"/>
        <v>85.055329719963879</v>
      </c>
      <c r="R18" s="109">
        <f t="shared" si="3"/>
        <v>72.259558981317639</v>
      </c>
      <c r="S18" s="77"/>
      <c r="T18" s="90"/>
      <c r="U18" s="86"/>
    </row>
    <row r="19" spans="1:21" x14ac:dyDescent="0.2">
      <c r="A19" s="143">
        <v>8</v>
      </c>
      <c r="B19" s="80">
        <v>45318</v>
      </c>
      <c r="C19" s="131">
        <f>[1]Air!$N$46</f>
        <v>13.416666666666666</v>
      </c>
      <c r="D19" s="131">
        <f>[1]Air!$N$47</f>
        <v>12.074999999999999</v>
      </c>
      <c r="E19" s="131">
        <f>[1]Air!$N$48</f>
        <v>11.404166666666667</v>
      </c>
      <c r="F19" s="77">
        <f>[1]Air!$N$49</f>
        <v>10.733333333333333</v>
      </c>
      <c r="G19" s="131">
        <f>[1]Air!$N$50</f>
        <v>12.074999999999999</v>
      </c>
      <c r="H19" s="131">
        <f>[1]Air!$N$51</f>
        <v>14.12280701754386</v>
      </c>
      <c r="I19" s="77">
        <f>MAX(C19:H19)</f>
        <v>14.12280701754386</v>
      </c>
      <c r="J19" s="77">
        <f>AVERAGE(C19:H19)</f>
        <v>12.304495614035089</v>
      </c>
      <c r="K19" s="37">
        <f>[1]Air!$AG$46</f>
        <v>65.399883195133512</v>
      </c>
      <c r="L19" s="77">
        <f>[1]Air!$AG$47</f>
        <v>63.231476020307845</v>
      </c>
      <c r="M19" s="37">
        <f>[1]Air!$AG$48</f>
        <v>54.557847321005219</v>
      </c>
      <c r="N19" s="77">
        <f>[1]Air!$AG$49</f>
        <v>57.449056887439426</v>
      </c>
      <c r="O19" s="37">
        <f>[1]Air!$AG$50</f>
        <v>58.171859279047986</v>
      </c>
      <c r="P19" s="77">
        <f>[1]Air!$AG$51</f>
        <v>60.340266453873653</v>
      </c>
      <c r="Q19" s="77">
        <f>MAX(K19:P19)</f>
        <v>65.399883195133512</v>
      </c>
      <c r="R19" s="109">
        <f>AVERAGE(K19:P19)</f>
        <v>59.858398192801275</v>
      </c>
      <c r="S19" s="77"/>
      <c r="T19" s="109"/>
      <c r="U19" s="146"/>
    </row>
    <row r="20" spans="1:21" x14ac:dyDescent="0.2">
      <c r="A20" s="143">
        <v>9</v>
      </c>
      <c r="B20" s="80">
        <v>45322</v>
      </c>
      <c r="C20" s="131">
        <f>[1]Air!$N$52</f>
        <v>10.733333333333333</v>
      </c>
      <c r="D20" s="131">
        <f>[1]Air!$N$53</f>
        <v>12.710526315789474</v>
      </c>
      <c r="E20" s="131">
        <f>[1]Air!$N$54</f>
        <v>13.416666666666666</v>
      </c>
      <c r="F20" s="131">
        <f>[1]Air!$N$55</f>
        <v>12.710526315789474</v>
      </c>
      <c r="G20" s="131">
        <f>[1]Air!$N$56</f>
        <v>12.004385964912281</v>
      </c>
      <c r="H20" s="131">
        <f>[1]Air!$N$57</f>
        <v>13.416666666666666</v>
      </c>
      <c r="I20" s="77">
        <f>MAX(C20:H20)</f>
        <v>13.416666666666666</v>
      </c>
      <c r="J20" s="77">
        <f>AVERAGE(C20:H20)</f>
        <v>12.498684210526315</v>
      </c>
      <c r="K20" s="37">
        <f>[1]Air!$AG$52</f>
        <v>42.270206663659813</v>
      </c>
      <c r="L20" s="77">
        <f>[1]Air!$AG$53</f>
        <v>47.670383798432582</v>
      </c>
      <c r="M20" s="37">
        <f>[1]Air!$AG$54</f>
        <v>48.775428188136793</v>
      </c>
      <c r="N20" s="77">
        <f>[1]Air!$AG$55</f>
        <v>56.825880758807585</v>
      </c>
      <c r="O20" s="37">
        <f>[1]Air!$AG$56</f>
        <v>55.299964598745085</v>
      </c>
      <c r="P20" s="77">
        <f>[1]Air!$AG$57</f>
        <v>53.835044929396659</v>
      </c>
      <c r="Q20" s="77">
        <f>MAX(K20:P20)</f>
        <v>56.825880758807585</v>
      </c>
      <c r="R20" s="109">
        <f>AVERAGE(K20:P20)</f>
        <v>50.779484822863083</v>
      </c>
      <c r="S20" s="77"/>
      <c r="T20" s="109"/>
      <c r="U20" s="146"/>
    </row>
    <row r="21" spans="1:21" ht="13.5" thickBot="1" x14ac:dyDescent="0.25">
      <c r="A21" s="144"/>
      <c r="B21" s="144"/>
      <c r="C21" s="132"/>
      <c r="D21" s="132"/>
      <c r="E21" s="132"/>
      <c r="F21" s="78"/>
      <c r="G21" s="132"/>
      <c r="H21" s="132"/>
      <c r="I21" s="78"/>
      <c r="J21" s="78"/>
      <c r="K21" s="128"/>
      <c r="L21" s="78"/>
      <c r="M21" s="128"/>
      <c r="N21" s="78"/>
      <c r="O21" s="128"/>
      <c r="P21" s="78"/>
      <c r="Q21" s="78"/>
      <c r="R21" s="129"/>
      <c r="S21" s="78"/>
      <c r="T21" s="127"/>
      <c r="U21" s="26"/>
    </row>
    <row r="23" spans="1:21" x14ac:dyDescent="0.2">
      <c r="A23" s="1"/>
      <c r="B23" s="135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1" ht="15.75" x14ac:dyDescent="0.25">
      <c r="A24" s="38" t="s">
        <v>88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  <row r="25" spans="1:21" x14ac:dyDescent="0.2">
      <c r="A25" s="2" t="s">
        <v>82</v>
      </c>
      <c r="J25" s="2"/>
      <c r="L25" s="2"/>
      <c r="M25" s="2"/>
      <c r="N25" s="2"/>
    </row>
    <row r="26" spans="1:21" ht="15" x14ac:dyDescent="0.2">
      <c r="A26" s="2" t="s">
        <v>83</v>
      </c>
      <c r="G26" s="2" t="s">
        <v>94</v>
      </c>
      <c r="H26" s="2"/>
      <c r="J26" s="9"/>
      <c r="L26" s="2"/>
      <c r="M26" s="2"/>
      <c r="N26" s="2"/>
      <c r="Q26" s="39"/>
    </row>
    <row r="27" spans="1:21" ht="15.75" x14ac:dyDescent="0.25">
      <c r="A27" s="2" t="s">
        <v>4</v>
      </c>
      <c r="E27" s="1"/>
      <c r="G27" s="9" t="s">
        <v>31</v>
      </c>
      <c r="H27" t="s">
        <v>32</v>
      </c>
      <c r="M27" s="2"/>
      <c r="N27" s="2"/>
      <c r="Q27" s="38"/>
    </row>
    <row r="28" spans="1:21" ht="15" x14ac:dyDescent="0.2">
      <c r="A28" s="205" t="s">
        <v>90</v>
      </c>
      <c r="B28" s="205"/>
      <c r="C28" s="205"/>
      <c r="D28" s="205"/>
      <c r="H28" s="2"/>
      <c r="I28" s="2"/>
      <c r="J28" s="2"/>
      <c r="K28" s="2"/>
      <c r="L28" s="2"/>
      <c r="M28" s="2"/>
      <c r="N28" s="2"/>
      <c r="O28" s="2"/>
      <c r="Q28" s="96"/>
    </row>
    <row r="29" spans="1:21" ht="15" x14ac:dyDescent="0.2">
      <c r="A29" s="169" t="s">
        <v>78</v>
      </c>
      <c r="B29" s="169"/>
      <c r="C29" s="113"/>
      <c r="D29" s="113"/>
      <c r="H29" s="2"/>
      <c r="I29" s="2"/>
      <c r="J29" s="2"/>
      <c r="K29" s="2"/>
      <c r="L29" s="2"/>
      <c r="M29" s="2"/>
      <c r="N29" s="2"/>
      <c r="O29" s="2"/>
      <c r="Q29" s="96"/>
    </row>
    <row r="30" spans="1:21" ht="16.5" thickBot="1" x14ac:dyDescent="0.3">
      <c r="K30" s="2"/>
      <c r="L30" s="9"/>
      <c r="M30" s="2"/>
      <c r="N30" s="2"/>
      <c r="O30" s="108"/>
      <c r="Q30" s="97"/>
    </row>
    <row r="31" spans="1:21" ht="15.75" thickBot="1" x14ac:dyDescent="0.25">
      <c r="A31" s="182" t="s">
        <v>13</v>
      </c>
      <c r="B31" s="194" t="s">
        <v>14</v>
      </c>
      <c r="C31" s="170" t="s">
        <v>34</v>
      </c>
      <c r="D31" s="190"/>
      <c r="E31" s="188"/>
      <c r="F31" s="15" t="s">
        <v>35</v>
      </c>
      <c r="G31" s="18" t="s">
        <v>17</v>
      </c>
      <c r="H31" s="184" t="s">
        <v>36</v>
      </c>
      <c r="I31" s="177"/>
      <c r="J31" s="194"/>
      <c r="K31" s="18" t="s">
        <v>35</v>
      </c>
      <c r="L31" s="19" t="s">
        <v>17</v>
      </c>
      <c r="M31" s="191" t="s">
        <v>37</v>
      </c>
      <c r="N31" s="192"/>
      <c r="O31" s="182" t="s">
        <v>46</v>
      </c>
      <c r="Q31" s="96"/>
    </row>
    <row r="32" spans="1:21" ht="16.5" thickBot="1" x14ac:dyDescent="0.3">
      <c r="A32" s="211"/>
      <c r="B32" s="209"/>
      <c r="C32" s="22" t="s">
        <v>39</v>
      </c>
      <c r="D32" s="23" t="s">
        <v>40</v>
      </c>
      <c r="E32" s="83" t="s">
        <v>41</v>
      </c>
      <c r="F32" s="21" t="s">
        <v>26</v>
      </c>
      <c r="G32" s="79" t="s">
        <v>27</v>
      </c>
      <c r="H32" s="23" t="s">
        <v>39</v>
      </c>
      <c r="I32" s="83" t="s">
        <v>40</v>
      </c>
      <c r="J32" s="23" t="s">
        <v>41</v>
      </c>
      <c r="K32" s="21" t="s">
        <v>26</v>
      </c>
      <c r="L32" s="21" t="s">
        <v>27</v>
      </c>
      <c r="M32" s="23" t="s">
        <v>29</v>
      </c>
      <c r="N32" s="21" t="s">
        <v>30</v>
      </c>
      <c r="O32" s="183"/>
      <c r="Q32" s="97"/>
    </row>
    <row r="33" spans="1:17" ht="15" x14ac:dyDescent="0.2">
      <c r="A33" s="148">
        <v>1</v>
      </c>
      <c r="B33" s="137">
        <v>45294</v>
      </c>
      <c r="C33" s="76">
        <f>'[2]SPM &amp; RSPM'!$S$13</f>
        <v>28.219696969696805</v>
      </c>
      <c r="D33" s="140">
        <f>'[2]SPM &amp; RSPM'!$S$14</f>
        <v>146.25850340136037</v>
      </c>
      <c r="E33" s="76">
        <f>'[2]SPM &amp; RSPM'!$S$15</f>
        <v>149.05303030303028</v>
      </c>
      <c r="F33" s="76">
        <f t="shared" ref="F33:F39" si="4">MAX(C33:E33)</f>
        <v>149.05303030303028</v>
      </c>
      <c r="G33" s="142">
        <f t="shared" ref="G33:G39" si="5">AVERAGE(C33:E33)</f>
        <v>107.84374355802915</v>
      </c>
      <c r="H33" s="76">
        <f>'[2]SPM &amp; RSPM'!$T$13</f>
        <v>276.13636363636351</v>
      </c>
      <c r="I33" s="140">
        <f>'[2]SPM &amp; RSPM'!$T$14</f>
        <v>217.87603930461043</v>
      </c>
      <c r="J33" s="76">
        <f>'[2]SPM &amp; RSPM'!$T$15</f>
        <v>263.44696969696969</v>
      </c>
      <c r="K33" s="140">
        <f>MAX(H33:J33)</f>
        <v>276.13636363636351</v>
      </c>
      <c r="L33" s="130">
        <f>AVERAGE(H33:J33)</f>
        <v>252.48645754598124</v>
      </c>
      <c r="M33" s="163"/>
      <c r="N33" s="1"/>
      <c r="O33" s="32"/>
      <c r="Q33" s="96"/>
    </row>
    <row r="34" spans="1:17" ht="15.75" x14ac:dyDescent="0.25">
      <c r="A34" s="154">
        <v>2</v>
      </c>
      <c r="B34" s="80">
        <v>45297</v>
      </c>
      <c r="C34" s="77">
        <f>'[2]SPM &amp; RSPM'!$S$22</f>
        <v>140.95345345345331</v>
      </c>
      <c r="D34" s="37">
        <f>'[2]SPM &amp; RSPM'!$S$23</f>
        <v>115.9090909090916</v>
      </c>
      <c r="E34" s="77">
        <f>'[2]SPM &amp; RSPM'!$S$24</f>
        <v>140.09111617312044</v>
      </c>
      <c r="F34" s="77">
        <f t="shared" si="4"/>
        <v>140.95345345345331</v>
      </c>
      <c r="G34" s="109">
        <f t="shared" si="5"/>
        <v>132.31788684522178</v>
      </c>
      <c r="H34" s="77">
        <f>'[2]SPM &amp; RSPM'!$T$22</f>
        <v>241.36636636636618</v>
      </c>
      <c r="I34" s="37">
        <f>'[2]SPM &amp; RSPM'!$T$23</f>
        <v>184.46969696969768</v>
      </c>
      <c r="J34" s="77">
        <f>'[2]SPM &amp; RSPM'!$T$24</f>
        <v>173.12072892938463</v>
      </c>
      <c r="K34" s="37">
        <f t="shared" ref="K34:K39" si="6">MAX(H34:J34)</f>
        <v>241.36636636636618</v>
      </c>
      <c r="L34" s="131">
        <f t="shared" ref="L34:L39" si="7">AVERAGE(H34:J34)</f>
        <v>199.65226408848284</v>
      </c>
      <c r="M34" s="77"/>
      <c r="N34" s="109"/>
      <c r="O34" s="24"/>
      <c r="Q34" s="97"/>
    </row>
    <row r="35" spans="1:17" x14ac:dyDescent="0.2">
      <c r="A35" s="154">
        <v>3</v>
      </c>
      <c r="B35" s="80">
        <v>45301</v>
      </c>
      <c r="C35" s="77">
        <f>'[2]SPM &amp; RSPM'!$S$31</f>
        <v>142.42424242424272</v>
      </c>
      <c r="D35" s="37">
        <f>'[2]SPM &amp; RSPM'!$S$32</f>
        <v>134.96583143507959</v>
      </c>
      <c r="E35" s="77">
        <f>'[2]SPM &amp; RSPM'!$S$33</f>
        <v>133.02752293578041</v>
      </c>
      <c r="F35" s="77">
        <f t="shared" si="4"/>
        <v>142.42424242424272</v>
      </c>
      <c r="G35" s="109">
        <f t="shared" si="5"/>
        <v>136.8058655983676</v>
      </c>
      <c r="H35" s="77">
        <f>'[2]SPM &amp; RSPM'!$T$31</f>
        <v>320.26515151515179</v>
      </c>
      <c r="I35" s="37">
        <f>'[2]SPM &amp; RSPM'!$T$32</f>
        <v>172.55125284738014</v>
      </c>
      <c r="J35" s="77">
        <f>'[2]SPM &amp; RSPM'!$T$33</f>
        <v>180.04587155963375</v>
      </c>
      <c r="K35" s="37">
        <f t="shared" si="6"/>
        <v>320.26515151515179</v>
      </c>
      <c r="L35" s="131">
        <f t="shared" si="7"/>
        <v>224.28742530738853</v>
      </c>
      <c r="M35" s="77"/>
      <c r="N35" s="109"/>
      <c r="O35" s="146"/>
    </row>
    <row r="36" spans="1:17" x14ac:dyDescent="0.2">
      <c r="A36" s="154">
        <v>4</v>
      </c>
      <c r="B36" s="80">
        <v>45304</v>
      </c>
      <c r="C36" s="77">
        <f>'[2]SPM &amp; RSPM'!$S$40</f>
        <v>161.28433556050476</v>
      </c>
      <c r="D36" s="37">
        <f>'[2]SPM &amp; RSPM'!$S$41</f>
        <v>110.48265460030206</v>
      </c>
      <c r="E36" s="77">
        <f>'[2]SPM &amp; RSPM'!$S$42</f>
        <v>111.42748671222468</v>
      </c>
      <c r="F36" s="77">
        <f>MAX(C36:E36)</f>
        <v>161.28433556050476</v>
      </c>
      <c r="G36" s="109">
        <f>AVERAGE(C36:E36)</f>
        <v>127.7314922910105</v>
      </c>
      <c r="H36" s="77">
        <f>'[2]SPM &amp; RSPM'!$T$40</f>
        <v>219.74758723088351</v>
      </c>
      <c r="I36" s="77">
        <f>'[2]SPM &amp; RSPM'!$T$41</f>
        <v>168.36349924585269</v>
      </c>
      <c r="J36" s="77">
        <f>'[2]SPM &amp; RSPM'!$T$42</f>
        <v>154.13819286256629</v>
      </c>
      <c r="K36" s="37">
        <f>MAX(H36:J36)</f>
        <v>219.74758723088351</v>
      </c>
      <c r="L36" s="131">
        <f>AVERAGE(H36:J36)</f>
        <v>180.74975977976749</v>
      </c>
      <c r="M36" s="77"/>
      <c r="N36" s="109"/>
      <c r="O36" s="106"/>
    </row>
    <row r="37" spans="1:17" x14ac:dyDescent="0.2">
      <c r="A37" s="154">
        <v>5</v>
      </c>
      <c r="B37" s="80">
        <v>45308</v>
      </c>
      <c r="C37" s="77">
        <f>'[2]SPM &amp; RSPM'!$S$49</f>
        <v>119.04761904761914</v>
      </c>
      <c r="D37" s="37">
        <f>'[2]SPM &amp; RSPM'!$S$50</f>
        <v>109.18898809523805</v>
      </c>
      <c r="E37" s="77">
        <f>'[2]SPM &amp; RSPM'!$S$51</f>
        <v>99.75282485875745</v>
      </c>
      <c r="F37" s="77">
        <f>MAX(C37:E37)</f>
        <v>119.04761904761914</v>
      </c>
      <c r="G37" s="109">
        <f>AVERAGE(C37:E37)</f>
        <v>109.32981066720487</v>
      </c>
      <c r="H37" s="77">
        <f>'[2]SPM &amp; RSPM'!$T$49</f>
        <v>355.28273809523819</v>
      </c>
      <c r="I37" s="77">
        <f>'[2]SPM &amp; RSPM'!$T$50</f>
        <v>198.47470238095218</v>
      </c>
      <c r="J37" s="77">
        <f>'[2]SPM &amp; RSPM'!$T$51</f>
        <v>138.94774011299472</v>
      </c>
      <c r="K37" s="37">
        <f>MAX(H37:J37)</f>
        <v>355.28273809523819</v>
      </c>
      <c r="L37" s="131">
        <f>AVERAGE(H37:J37)</f>
        <v>230.90172686306173</v>
      </c>
      <c r="M37" s="77"/>
      <c r="N37" s="109"/>
      <c r="O37" s="77"/>
    </row>
    <row r="38" spans="1:17" ht="15.75" customHeight="1" x14ac:dyDescent="0.2">
      <c r="A38" s="154">
        <v>6</v>
      </c>
      <c r="B38" s="80">
        <v>45311</v>
      </c>
      <c r="C38" s="77">
        <f>'[2]SPM &amp; RSPM'!$S$58</f>
        <v>104.49146250928031</v>
      </c>
      <c r="D38" s="37">
        <f>'[2]SPM &amp; RSPM'!$S$59</f>
        <v>99.547511312217125</v>
      </c>
      <c r="E38" s="77">
        <f>'[2]SPM &amp; RSPM'!$S$60</f>
        <v>162.53443526170844</v>
      </c>
      <c r="F38" s="77">
        <f t="shared" si="4"/>
        <v>162.53443526170844</v>
      </c>
      <c r="G38" s="109">
        <f t="shared" si="5"/>
        <v>122.19113636106863</v>
      </c>
      <c r="H38" s="77">
        <f>'[2]SPM &amp; RSPM'!$T$58</f>
        <v>242.76169265033451</v>
      </c>
      <c r="I38" s="37">
        <f>'[2]SPM &amp; RSPM'!$T$59</f>
        <v>241.13876319758657</v>
      </c>
      <c r="J38" s="77">
        <f>'[2]SPM &amp; RSPM'!$T$60</f>
        <v>232.09366391184625</v>
      </c>
      <c r="K38" s="37">
        <f t="shared" si="6"/>
        <v>242.76169265033451</v>
      </c>
      <c r="L38" s="131">
        <f t="shared" si="7"/>
        <v>238.66470658658909</v>
      </c>
      <c r="M38" s="77"/>
      <c r="N38" s="109"/>
      <c r="O38" s="86"/>
    </row>
    <row r="39" spans="1:17" ht="16.5" customHeight="1" x14ac:dyDescent="0.2">
      <c r="A39" s="154">
        <v>7</v>
      </c>
      <c r="B39" s="80">
        <v>45315</v>
      </c>
      <c r="C39" s="77">
        <f>'[2]SPM &amp; RSPM'!$S$67</f>
        <v>91.463414634146531</v>
      </c>
      <c r="D39" s="37">
        <f>'[2]SPM &amp; RSPM'!$S$68</f>
        <v>113.17567567567609</v>
      </c>
      <c r="E39" s="77">
        <f>'[2]SPM &amp; RSPM'!$S$69</f>
        <v>126.04403948367462</v>
      </c>
      <c r="F39" s="77">
        <f t="shared" si="4"/>
        <v>126.04403948367462</v>
      </c>
      <c r="G39" s="109">
        <f t="shared" si="5"/>
        <v>110.22770993116575</v>
      </c>
      <c r="H39" s="77">
        <f>'[2]SPM &amp; RSPM'!$T$67</f>
        <v>203.2520325203254</v>
      </c>
      <c r="I39" s="37">
        <f>'[2]SPM &amp; RSPM'!$T$68</f>
        <v>240.24024024024055</v>
      </c>
      <c r="J39" s="77">
        <f>'[2]SPM &amp; RSPM'!$T$69</f>
        <v>160.21260440394801</v>
      </c>
      <c r="K39" s="37">
        <f t="shared" si="6"/>
        <v>240.24024024024055</v>
      </c>
      <c r="L39" s="131">
        <f t="shared" si="7"/>
        <v>201.23495905483799</v>
      </c>
      <c r="M39" s="77"/>
      <c r="N39" s="90"/>
      <c r="O39" s="86"/>
    </row>
    <row r="40" spans="1:17" ht="16.5" customHeight="1" x14ac:dyDescent="0.2">
      <c r="A40" s="154">
        <v>8</v>
      </c>
      <c r="B40" s="80">
        <v>45318</v>
      </c>
      <c r="C40" s="77">
        <f>'[2]SPM &amp; RSPM'!$S$76</f>
        <v>93.939393939393682</v>
      </c>
      <c r="D40" s="37">
        <f>'[2]SPM &amp; RSPM'!$S$77</f>
        <v>109.98498498498451</v>
      </c>
      <c r="E40" s="77">
        <f>'[2]SPM &amp; RSPM'!$S$78</f>
        <v>148.98419864559852</v>
      </c>
      <c r="F40" s="77">
        <f>MAX(C40:E40)</f>
        <v>148.98419864559852</v>
      </c>
      <c r="G40" s="109">
        <f>AVERAGE(C40:E40)</f>
        <v>117.63619252332558</v>
      </c>
      <c r="H40" s="77">
        <f>'[2]SPM &amp; RSPM'!$T$76</f>
        <v>360.79545454545428</v>
      </c>
      <c r="I40" s="37">
        <f>'[2]SPM &amp; RSPM'!$T$77</f>
        <v>243.99399399399351</v>
      </c>
      <c r="J40" s="77">
        <f>'[2]SPM &amp; RSPM'!$T$78</f>
        <v>205.04138449962409</v>
      </c>
      <c r="K40" s="37">
        <f>MAX(H40:J40)</f>
        <v>360.79545454545428</v>
      </c>
      <c r="L40" s="131">
        <f>AVERAGE(H40:J40)</f>
        <v>269.94361101302394</v>
      </c>
      <c r="M40" s="77"/>
      <c r="N40" s="109"/>
      <c r="O40" s="146"/>
    </row>
    <row r="41" spans="1:17" ht="16.5" customHeight="1" x14ac:dyDescent="0.2">
      <c r="A41" s="154">
        <v>9</v>
      </c>
      <c r="B41" s="80">
        <v>45322</v>
      </c>
      <c r="C41" s="77">
        <f>'[2]SPM &amp; RSPM'!$S$85</f>
        <v>79.545454545454191</v>
      </c>
      <c r="D41" s="77">
        <f>'[2]SPM &amp; RSPM'!$S$86</f>
        <v>94.6969696969702</v>
      </c>
      <c r="E41" s="77">
        <f>'[2]SPM &amp; RSPM'!$S$87</f>
        <v>123.51190476190519</v>
      </c>
      <c r="F41" s="77">
        <f>MAX(C41:E41)</f>
        <v>123.51190476190519</v>
      </c>
      <c r="G41" s="109">
        <f>AVERAGE(C41:E41)</f>
        <v>99.251443001443192</v>
      </c>
      <c r="H41" s="77">
        <f>'[2]SPM &amp; RSPM'!$T$85</f>
        <v>202.6515151515149</v>
      </c>
      <c r="I41" s="77">
        <f>'[2]SPM &amp; RSPM'!$T$86</f>
        <v>119.12878787878843</v>
      </c>
      <c r="J41" s="77">
        <f>'[2]SPM &amp; RSPM'!$T$87</f>
        <v>344.86607142857184</v>
      </c>
      <c r="K41" s="37">
        <f>MAX(H41:J41)</f>
        <v>344.86607142857184</v>
      </c>
      <c r="L41" s="131">
        <f>AVERAGE(H41:J41)</f>
        <v>222.2154581529584</v>
      </c>
      <c r="M41" s="77"/>
      <c r="N41" s="109"/>
      <c r="O41" s="146"/>
      <c r="Q41" s="96"/>
    </row>
    <row r="42" spans="1:17" ht="16.5" customHeight="1" thickBot="1" x14ac:dyDescent="0.25">
      <c r="A42" s="155"/>
      <c r="B42" s="144"/>
      <c r="C42" s="104"/>
      <c r="D42" s="156"/>
      <c r="E42" s="104"/>
      <c r="F42" s="78"/>
      <c r="G42" s="129"/>
      <c r="H42" s="104"/>
      <c r="I42" s="156"/>
      <c r="J42" s="104"/>
      <c r="K42" s="156"/>
      <c r="L42" s="123"/>
      <c r="M42" s="78"/>
      <c r="N42" s="127"/>
      <c r="O42" s="26"/>
      <c r="Q42" s="96"/>
    </row>
    <row r="43" spans="1:17" ht="16.5" customHeight="1" x14ac:dyDescent="0.2">
      <c r="A43" s="1"/>
      <c r="B43" s="135"/>
      <c r="C43" s="135"/>
      <c r="D43" s="135"/>
      <c r="J43" s="37"/>
      <c r="K43" s="37"/>
      <c r="L43" s="37"/>
      <c r="M43" s="37"/>
      <c r="N43" s="37"/>
      <c r="O43" s="25"/>
      <c r="Q43" s="96"/>
    </row>
    <row r="44" spans="1:17" ht="16.5" customHeight="1" thickBot="1" x14ac:dyDescent="0.25">
      <c r="A44" s="1"/>
      <c r="B44" s="135"/>
      <c r="C44" s="135"/>
      <c r="D44" s="135"/>
      <c r="J44" s="37"/>
      <c r="K44" s="37"/>
      <c r="L44" s="37"/>
      <c r="M44" s="37"/>
      <c r="N44" s="37"/>
    </row>
    <row r="45" spans="1:17" ht="13.5" thickBot="1" x14ac:dyDescent="0.25">
      <c r="A45" s="65"/>
      <c r="C45" s="41"/>
      <c r="D45" s="116"/>
      <c r="E45" s="117" t="s">
        <v>86</v>
      </c>
      <c r="F45" s="117" t="s">
        <v>87</v>
      </c>
      <c r="G45" s="117" t="s">
        <v>34</v>
      </c>
      <c r="H45" s="102" t="s">
        <v>36</v>
      </c>
      <c r="I45" s="25"/>
      <c r="J45" s="25"/>
      <c r="K45" s="35"/>
      <c r="L45" s="35"/>
    </row>
    <row r="46" spans="1:17" x14ac:dyDescent="0.2">
      <c r="D46" s="106" t="s">
        <v>1</v>
      </c>
      <c r="E46" s="33">
        <f>COUNT(C12:H21)</f>
        <v>54</v>
      </c>
      <c r="F46" s="36">
        <f>COUNT(K12:P21)</f>
        <v>54</v>
      </c>
      <c r="G46" s="33">
        <f>COUNT(C33:E42)</f>
        <v>27</v>
      </c>
      <c r="H46" s="110">
        <f>COUNT(D33:F42)</f>
        <v>27</v>
      </c>
    </row>
    <row r="47" spans="1:17" x14ac:dyDescent="0.2">
      <c r="D47" s="106" t="s">
        <v>55</v>
      </c>
      <c r="E47" s="36">
        <f>AVERAGE(C12:H21)</f>
        <v>13.213832936250093</v>
      </c>
      <c r="F47" s="36">
        <f>AVERAGE(K12:P21)</f>
        <v>64.268134529004371</v>
      </c>
      <c r="G47" s="36">
        <f>AVERAGE(C33:E42)</f>
        <v>118.14836453075965</v>
      </c>
      <c r="H47" s="36">
        <f>AVERAGE(H33:J42)</f>
        <v>224.45959648801011</v>
      </c>
      <c r="I47" s="27"/>
    </row>
    <row r="48" spans="1:17" x14ac:dyDescent="0.2">
      <c r="D48" s="106" t="s">
        <v>56</v>
      </c>
      <c r="E48" s="36">
        <f>STDEV(C12:H21)</f>
        <v>2.4786691716666236</v>
      </c>
      <c r="F48" s="36">
        <f>STDEV(K12:P21)</f>
        <v>8.8311023322461661</v>
      </c>
      <c r="G48" s="36">
        <f>STDEV(C33:E42)</f>
        <v>28.616116392198851</v>
      </c>
      <c r="H48" s="36">
        <f>STDEV(H33:J42)</f>
        <v>64.06982387648101</v>
      </c>
      <c r="I48" s="28"/>
    </row>
    <row r="49" spans="2:15" ht="13.5" customHeight="1" x14ac:dyDescent="0.2">
      <c r="D49" s="106" t="s">
        <v>57</v>
      </c>
      <c r="E49" s="36">
        <f>MAX(C12:H21)</f>
        <v>18.63425925925926</v>
      </c>
      <c r="F49" s="36">
        <f>MAXA(K12:P21)</f>
        <v>85.055329719963879</v>
      </c>
      <c r="G49" s="36">
        <f>MAXA(C33:E42)</f>
        <v>162.53443526170844</v>
      </c>
      <c r="H49" s="36">
        <f>MAXA(H33:J42)</f>
        <v>360.79545454545428</v>
      </c>
      <c r="I49" s="28"/>
    </row>
    <row r="50" spans="2:15" ht="14.25" customHeight="1" thickBot="1" x14ac:dyDescent="0.25">
      <c r="D50" s="107" t="s">
        <v>58</v>
      </c>
      <c r="E50" s="104">
        <f>GEOMEAN(C12:H21)</f>
        <v>12.986043357943947</v>
      </c>
      <c r="F50" s="104">
        <f>GEOMEAN(K12:P21)</f>
        <v>63.674550178460542</v>
      </c>
      <c r="G50" s="104">
        <f>GEOMEAN(C33:E42)</f>
        <v>113.32342607514721</v>
      </c>
      <c r="H50" s="104">
        <f>GEOMEAN(H33:J42)</f>
        <v>216.09463804870205</v>
      </c>
      <c r="I50" s="28"/>
    </row>
    <row r="52" spans="2:15" ht="24.95" customHeight="1" x14ac:dyDescent="0.2"/>
    <row r="58" spans="2:15" x14ac:dyDescent="0.2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</row>
    <row r="59" spans="2:15" x14ac:dyDescent="0.2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</row>
    <row r="60" spans="2:15" x14ac:dyDescent="0.2"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</row>
    <row r="61" spans="2:15" x14ac:dyDescent="0.2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</row>
    <row r="62" spans="2:15" x14ac:dyDescent="0.2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</row>
    <row r="63" spans="2:15" x14ac:dyDescent="0.2"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</row>
    <row r="64" spans="2:15" x14ac:dyDescent="0.2"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</row>
    <row r="65" spans="2:15" x14ac:dyDescent="0.2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</row>
    <row r="66" spans="2:15" x14ac:dyDescent="0.2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</row>
    <row r="67" spans="2:15" x14ac:dyDescent="0.2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</row>
    <row r="68" spans="2:15" x14ac:dyDescent="0.2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</row>
  </sheetData>
  <mergeCells count="20">
    <mergeCell ref="M31:N31"/>
    <mergeCell ref="O31:O32"/>
    <mergeCell ref="K10:P10"/>
    <mergeCell ref="A28:D28"/>
    <mergeCell ref="B31:B32"/>
    <mergeCell ref="A10:A11"/>
    <mergeCell ref="B10:B11"/>
    <mergeCell ref="C31:E31"/>
    <mergeCell ref="A31:A32"/>
    <mergeCell ref="H31:J31"/>
    <mergeCell ref="A29:B29"/>
    <mergeCell ref="S10:T10"/>
    <mergeCell ref="A5:C5"/>
    <mergeCell ref="U10:U11"/>
    <mergeCell ref="K3:L3"/>
    <mergeCell ref="K4:L4"/>
    <mergeCell ref="K5:L5"/>
    <mergeCell ref="C10:H10"/>
    <mergeCell ref="A6:B6"/>
    <mergeCell ref="A7:J7"/>
  </mergeCells>
  <phoneticPr fontId="0" type="noConversion"/>
  <pageMargins left="0.75" right="0.75" top="1.5" bottom="1" header="0.5" footer="0.5"/>
  <pageSetup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M56"/>
  <sheetViews>
    <sheetView workbookViewId="0">
      <selection activeCell="M24" sqref="M24"/>
    </sheetView>
  </sheetViews>
  <sheetFormatPr defaultRowHeight="12.75" x14ac:dyDescent="0.2"/>
  <cols>
    <col min="1" max="1" width="16.85546875" customWidth="1"/>
    <col min="2" max="2" width="7.5703125" customWidth="1"/>
    <col min="3" max="3" width="13.7109375" customWidth="1"/>
    <col min="4" max="4" width="7.28515625" customWidth="1"/>
    <col min="5" max="22" width="5.42578125" customWidth="1"/>
    <col min="23" max="24" width="6.7109375" customWidth="1"/>
    <col min="25" max="25" width="7.28515625" customWidth="1"/>
    <col min="26" max="26" width="7.5703125" customWidth="1"/>
    <col min="27" max="27" width="6.5703125" customWidth="1"/>
    <col min="28" max="28" width="7" customWidth="1"/>
    <col min="29" max="29" width="6" customWidth="1"/>
    <col min="30" max="30" width="6.85546875" customWidth="1"/>
  </cols>
  <sheetData>
    <row r="1" spans="1:39" ht="20.25" x14ac:dyDescent="0.3">
      <c r="A1" s="46" t="s">
        <v>79</v>
      </c>
      <c r="B1" s="46"/>
      <c r="C1" s="47"/>
      <c r="D1" s="47"/>
      <c r="E1" s="47"/>
      <c r="F1" s="48"/>
      <c r="G1" s="48"/>
      <c r="H1" s="48"/>
      <c r="I1" s="48"/>
      <c r="J1" s="29"/>
      <c r="K1" s="29"/>
    </row>
    <row r="2" spans="1:39" ht="20.25" x14ac:dyDescent="0.3">
      <c r="A2" s="46" t="s">
        <v>47</v>
      </c>
      <c r="B2" s="49"/>
      <c r="C2" s="50"/>
      <c r="D2" s="51"/>
      <c r="E2" s="52"/>
      <c r="F2" s="51"/>
      <c r="H2" s="51"/>
      <c r="I2" s="51"/>
    </row>
    <row r="3" spans="1:39" ht="21" thickBot="1" x14ac:dyDescent="0.35">
      <c r="A3" s="168" t="s">
        <v>94</v>
      </c>
      <c r="B3" s="167"/>
      <c r="D3" s="71"/>
      <c r="F3" s="53"/>
      <c r="G3" s="51"/>
      <c r="H3" s="51"/>
      <c r="I3" s="51"/>
    </row>
    <row r="4" spans="1:39" ht="15.75" customHeight="1" thickBot="1" x14ac:dyDescent="0.3">
      <c r="A4" s="212" t="s">
        <v>48</v>
      </c>
      <c r="B4" s="216" t="s">
        <v>85</v>
      </c>
      <c r="C4" s="212" t="s">
        <v>49</v>
      </c>
      <c r="D4" s="214" t="s">
        <v>50</v>
      </c>
      <c r="E4" s="170" t="s">
        <v>51</v>
      </c>
      <c r="F4" s="177"/>
      <c r="G4" s="177"/>
      <c r="H4" s="188"/>
      <c r="I4" s="170" t="s">
        <v>52</v>
      </c>
      <c r="J4" s="177"/>
      <c r="K4" s="177"/>
      <c r="L4" s="188"/>
      <c r="M4" s="170" t="s">
        <v>53</v>
      </c>
      <c r="N4" s="177"/>
      <c r="O4" s="177"/>
      <c r="P4" s="177"/>
      <c r="Q4" s="188"/>
      <c r="R4" s="170" t="s">
        <v>54</v>
      </c>
      <c r="S4" s="177"/>
      <c r="T4" s="177"/>
      <c r="U4" s="177"/>
      <c r="V4" s="188"/>
    </row>
    <row r="5" spans="1:39" ht="13.5" thickBot="1" x14ac:dyDescent="0.25">
      <c r="A5" s="213"/>
      <c r="B5" s="217"/>
      <c r="C5" s="213"/>
      <c r="D5" s="215"/>
      <c r="E5" s="15" t="s">
        <v>1</v>
      </c>
      <c r="F5" s="20" t="s">
        <v>55</v>
      </c>
      <c r="G5" s="15" t="s">
        <v>56</v>
      </c>
      <c r="H5" s="31" t="s">
        <v>57</v>
      </c>
      <c r="I5" s="20" t="s">
        <v>1</v>
      </c>
      <c r="J5" s="15" t="s">
        <v>55</v>
      </c>
      <c r="K5" s="20" t="s">
        <v>56</v>
      </c>
      <c r="L5" s="15" t="s">
        <v>57</v>
      </c>
      <c r="M5" s="20" t="s">
        <v>1</v>
      </c>
      <c r="N5" s="15" t="s">
        <v>55</v>
      </c>
      <c r="O5" s="20" t="s">
        <v>56</v>
      </c>
      <c r="P5" s="15" t="s">
        <v>57</v>
      </c>
      <c r="Q5" s="31" t="s">
        <v>58</v>
      </c>
      <c r="R5" s="19" t="s">
        <v>1</v>
      </c>
      <c r="S5" s="15" t="s">
        <v>55</v>
      </c>
      <c r="T5" s="20" t="s">
        <v>56</v>
      </c>
      <c r="U5" s="15" t="s">
        <v>57</v>
      </c>
      <c r="V5" s="31" t="s">
        <v>58</v>
      </c>
    </row>
    <row r="6" spans="1:39" ht="18" customHeight="1" thickBot="1" x14ac:dyDescent="0.25">
      <c r="A6" s="66" t="s">
        <v>59</v>
      </c>
      <c r="B6" s="66">
        <v>574</v>
      </c>
      <c r="C6" s="18" t="s">
        <v>93</v>
      </c>
      <c r="D6" s="81">
        <v>2024</v>
      </c>
      <c r="E6" s="73">
        <f>'Udyoga Bhawan'!E46</f>
        <v>48</v>
      </c>
      <c r="F6" s="54">
        <f>'Udyoga Bhawan'!E47</f>
        <v>10.85536671539961</v>
      </c>
      <c r="G6" s="54">
        <f>'Udyoga Bhawan'!E48</f>
        <v>1.5947227474641006</v>
      </c>
      <c r="H6" s="55">
        <f>'Udyoga Bhawan'!E49</f>
        <v>14.907407407407407</v>
      </c>
      <c r="I6" s="69">
        <f>'Udyoga Bhawan'!F46</f>
        <v>48</v>
      </c>
      <c r="J6" s="54">
        <f>'Udyoga Bhawan'!F47</f>
        <v>48.823657799173958</v>
      </c>
      <c r="K6" s="54">
        <f>'Udyoga Bhawan'!F48</f>
        <v>10.205778593679041</v>
      </c>
      <c r="L6" s="55">
        <f>'Udyoga Bhawan'!F49</f>
        <v>68.291092761567739</v>
      </c>
      <c r="M6" s="69">
        <f>'Udyoga Bhawan'!G46</f>
        <v>24</v>
      </c>
      <c r="N6" s="54">
        <f>'Udyoga Bhawan'!G47</f>
        <v>125.00035090608777</v>
      </c>
      <c r="O6" s="54">
        <f>'Udyoga Bhawan'!G48</f>
        <v>36.230454057181753</v>
      </c>
      <c r="P6" s="54">
        <f>'Udyoga Bhawan'!G49</f>
        <v>187.37373737373733</v>
      </c>
      <c r="Q6" s="55">
        <f>'Udyoga Bhawan'!G50</f>
        <v>119.35914407521994</v>
      </c>
      <c r="R6" s="69">
        <f>'Udyoga Bhawan'!H46</f>
        <v>24</v>
      </c>
      <c r="S6" s="54">
        <f>'Udyoga Bhawan'!H47</f>
        <v>262.74885413080671</v>
      </c>
      <c r="T6" s="54">
        <f>'Udyoga Bhawan'!H48</f>
        <v>68.544140960646672</v>
      </c>
      <c r="U6" s="54">
        <f>'Udyoga Bhawan'!H49</f>
        <v>431.38261464750133</v>
      </c>
      <c r="V6" s="55">
        <f>'Udyoga Bhawan'!H50</f>
        <v>253.63883210980211</v>
      </c>
    </row>
    <row r="7" spans="1:39" ht="18" customHeight="1" thickBot="1" x14ac:dyDescent="0.25">
      <c r="A7" s="67" t="s">
        <v>60</v>
      </c>
      <c r="B7" s="67">
        <v>576</v>
      </c>
      <c r="C7" s="18" t="s">
        <v>93</v>
      </c>
      <c r="D7" s="81">
        <v>2024</v>
      </c>
      <c r="E7" s="74">
        <f>Kupwad!E45</f>
        <v>54</v>
      </c>
      <c r="F7" s="56">
        <f>Kupwad!E46</f>
        <v>12.843472492960798</v>
      </c>
      <c r="G7" s="56">
        <f>Kupwad!E47</f>
        <v>2.5100204760202502</v>
      </c>
      <c r="H7" s="57">
        <f>Kupwad!E48</f>
        <v>18.63425925925926</v>
      </c>
      <c r="I7" s="70">
        <f>Kupwad!F45</f>
        <v>54</v>
      </c>
      <c r="J7" s="56">
        <f>Kupwad!F46</f>
        <v>60.323351241937523</v>
      </c>
      <c r="K7" s="56">
        <f>Kupwad!F47</f>
        <v>8.5081631554253292</v>
      </c>
      <c r="L7" s="57">
        <f>Kupwad!F48</f>
        <v>82.747140593738791</v>
      </c>
      <c r="M7" s="70">
        <f>Kupwad!G45</f>
        <v>27</v>
      </c>
      <c r="N7" s="56">
        <f>Kupwad!G46</f>
        <v>127.70624774132415</v>
      </c>
      <c r="O7" s="56">
        <f>Kupwad!G47</f>
        <v>45.714609669909962</v>
      </c>
      <c r="P7" s="56">
        <f>Kupwad!G48</f>
        <v>250.41666666666686</v>
      </c>
      <c r="Q7" s="57">
        <f>Kupwad!G49</f>
        <v>121.06100441949218</v>
      </c>
      <c r="R7" s="70">
        <f>Kupwad!H45</f>
        <v>27</v>
      </c>
      <c r="S7" s="58">
        <f>Kupwad!H46</f>
        <v>261.05046675346</v>
      </c>
      <c r="T7" s="58">
        <f>Kupwad!H47</f>
        <v>114.73916788578732</v>
      </c>
      <c r="U7" s="58">
        <f>Kupwad!H48</f>
        <v>523.68779822767601</v>
      </c>
      <c r="V7" s="57">
        <f>Kupwad!H49</f>
        <v>240.28039226354716</v>
      </c>
    </row>
    <row r="8" spans="1:39" ht="18" customHeight="1" thickBot="1" x14ac:dyDescent="0.25">
      <c r="A8" s="68" t="s">
        <v>61</v>
      </c>
      <c r="B8" s="68">
        <v>575</v>
      </c>
      <c r="C8" s="18" t="s">
        <v>93</v>
      </c>
      <c r="D8" s="81">
        <v>2024</v>
      </c>
      <c r="E8" s="75">
        <f>'Rajawada Chowk'!E46</f>
        <v>54</v>
      </c>
      <c r="F8" s="59">
        <f>'Rajawada Chowk'!E47</f>
        <v>13.213832936250093</v>
      </c>
      <c r="G8" s="59">
        <f>'Rajawada Chowk'!E48</f>
        <v>2.4786691716666236</v>
      </c>
      <c r="H8" s="61">
        <f>'Rajawada Chowk'!E49</f>
        <v>18.63425925925926</v>
      </c>
      <c r="I8" s="60">
        <f>'Rajawada Chowk'!F46</f>
        <v>54</v>
      </c>
      <c r="J8" s="59">
        <f>'Rajawada Chowk'!F47</f>
        <v>64.268134529004371</v>
      </c>
      <c r="K8" s="59">
        <f>'Rajawada Chowk'!F48</f>
        <v>8.8311023322461661</v>
      </c>
      <c r="L8" s="61">
        <f>'Rajawada Chowk'!F49</f>
        <v>85.055329719963879</v>
      </c>
      <c r="M8" s="60">
        <f>'Rajawada Chowk'!G46</f>
        <v>27</v>
      </c>
      <c r="N8" s="59">
        <f>'Rajawada Chowk'!G47</f>
        <v>118.14836453075965</v>
      </c>
      <c r="O8" s="59">
        <f>'Rajawada Chowk'!G48</f>
        <v>28.616116392198851</v>
      </c>
      <c r="P8" s="59">
        <f>'Rajawada Chowk'!G49</f>
        <v>162.53443526170844</v>
      </c>
      <c r="Q8" s="61">
        <f>'Rajawada Chowk'!G50</f>
        <v>113.32342607514721</v>
      </c>
      <c r="R8" s="60">
        <f>'Rajawada Chowk'!H46</f>
        <v>27</v>
      </c>
      <c r="S8" s="59">
        <f>'Rajawada Chowk'!H47</f>
        <v>224.45959648801011</v>
      </c>
      <c r="T8" s="59">
        <f>'Rajawada Chowk'!H48</f>
        <v>64.06982387648101</v>
      </c>
      <c r="U8" s="59">
        <f>'Rajawada Chowk'!H49</f>
        <v>360.79545454545428</v>
      </c>
      <c r="V8" s="61">
        <f>'Rajawada Chowk'!H50</f>
        <v>216.09463804870205</v>
      </c>
    </row>
    <row r="9" spans="1:39" x14ac:dyDescent="0.2">
      <c r="C9" s="34"/>
    </row>
    <row r="10" spans="1:39" ht="13.5" thickBot="1" x14ac:dyDescent="0.25"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39" x14ac:dyDescent="0.2">
      <c r="C11" s="87" t="s">
        <v>62</v>
      </c>
      <c r="D11" s="84"/>
      <c r="E11" s="84"/>
      <c r="F11" s="84"/>
      <c r="G11" s="84"/>
      <c r="H11" s="84"/>
      <c r="I11" s="84"/>
      <c r="J11" s="88"/>
      <c r="W11" s="14"/>
      <c r="X11" s="14"/>
      <c r="Y11" s="14"/>
      <c r="Z11" s="14"/>
      <c r="AA11" s="14"/>
      <c r="AB11" s="14"/>
      <c r="AC11" s="62"/>
      <c r="AD11" s="62"/>
      <c r="AE11" s="62"/>
      <c r="AF11" s="62"/>
      <c r="AG11" s="62"/>
      <c r="AH11" s="14"/>
      <c r="AI11" s="14"/>
      <c r="AJ11" s="14"/>
      <c r="AK11" s="14"/>
      <c r="AL11" s="14"/>
      <c r="AM11" s="14"/>
    </row>
    <row r="12" spans="1:39" ht="15" x14ac:dyDescent="0.2">
      <c r="C12" s="89" t="s">
        <v>45</v>
      </c>
      <c r="D12" s="2" t="s">
        <v>63</v>
      </c>
      <c r="J12" s="45"/>
      <c r="K12" s="35"/>
      <c r="L12" s="35"/>
      <c r="S12" s="1"/>
      <c r="T12" s="35"/>
      <c r="U12" s="35"/>
      <c r="V12" s="35"/>
      <c r="W12" s="14"/>
      <c r="X12" s="62"/>
      <c r="Y12" s="62"/>
      <c r="Z12" s="62"/>
      <c r="AA12" s="62"/>
      <c r="AB12" s="14"/>
      <c r="AC12" s="62"/>
      <c r="AD12" s="62"/>
      <c r="AE12" s="62"/>
      <c r="AF12" s="62"/>
      <c r="AG12" s="62"/>
      <c r="AH12" s="14"/>
      <c r="AI12" s="14"/>
      <c r="AJ12" s="62"/>
      <c r="AK12" s="62"/>
      <c r="AL12" s="62"/>
      <c r="AM12" s="62"/>
    </row>
    <row r="13" spans="1:39" x14ac:dyDescent="0.2">
      <c r="C13" s="85" t="s">
        <v>1</v>
      </c>
      <c r="D13" s="2" t="s">
        <v>64</v>
      </c>
      <c r="J13" s="45"/>
      <c r="K13" s="35"/>
      <c r="L13" s="35"/>
      <c r="S13" s="1"/>
      <c r="T13" s="37"/>
      <c r="U13" s="37"/>
      <c r="V13" s="37"/>
      <c r="W13" s="14"/>
      <c r="X13" s="62"/>
      <c r="Y13" s="62"/>
      <c r="Z13" s="62"/>
      <c r="AA13" s="62"/>
      <c r="AB13" s="14"/>
      <c r="AC13" s="62"/>
      <c r="AD13" s="62"/>
      <c r="AE13" s="62"/>
      <c r="AF13" s="62"/>
      <c r="AG13" s="62"/>
      <c r="AH13" s="14"/>
      <c r="AI13" s="14"/>
      <c r="AJ13" s="62"/>
      <c r="AK13" s="62"/>
      <c r="AL13" s="62"/>
      <c r="AM13" s="62"/>
    </row>
    <row r="14" spans="1:39" x14ac:dyDescent="0.2">
      <c r="C14" s="85" t="s">
        <v>55</v>
      </c>
      <c r="D14" s="2" t="s">
        <v>65</v>
      </c>
      <c r="J14" s="90"/>
      <c r="K14" s="1"/>
      <c r="L14" s="1"/>
      <c r="M14" s="1"/>
      <c r="N14" s="1"/>
      <c r="S14" s="1"/>
      <c r="T14" s="35"/>
      <c r="U14" s="35"/>
      <c r="V14" s="1"/>
      <c r="W14" s="14"/>
      <c r="X14" s="62"/>
      <c r="Y14" s="62"/>
      <c r="Z14" s="62"/>
      <c r="AA14" s="62"/>
      <c r="AB14" s="14"/>
      <c r="AC14" s="62"/>
      <c r="AD14" s="62"/>
      <c r="AE14" s="62"/>
      <c r="AF14" s="62"/>
      <c r="AG14" s="62"/>
      <c r="AH14" s="14"/>
      <c r="AI14" s="14"/>
      <c r="AJ14" s="62"/>
      <c r="AK14" s="62"/>
      <c r="AL14" s="62"/>
      <c r="AM14" s="62"/>
    </row>
    <row r="15" spans="1:39" x14ac:dyDescent="0.2">
      <c r="C15" s="85" t="s">
        <v>56</v>
      </c>
      <c r="D15" s="2" t="s">
        <v>66</v>
      </c>
      <c r="J15" s="90"/>
      <c r="K15" s="1"/>
      <c r="L15" s="1"/>
      <c r="M15" s="1"/>
      <c r="N15" s="1"/>
      <c r="W15" s="14"/>
      <c r="X15" s="62"/>
      <c r="Y15" s="62"/>
      <c r="Z15" s="62"/>
      <c r="AA15" s="62"/>
      <c r="AB15" s="14"/>
      <c r="AC15" s="62"/>
      <c r="AD15" s="62"/>
      <c r="AE15" s="62"/>
      <c r="AF15" s="62"/>
      <c r="AG15" s="62"/>
      <c r="AH15" s="14"/>
      <c r="AI15" s="14"/>
      <c r="AJ15" s="62"/>
      <c r="AK15" s="62"/>
      <c r="AL15" s="62"/>
      <c r="AM15" s="62"/>
    </row>
    <row r="16" spans="1:39" x14ac:dyDescent="0.2">
      <c r="C16" s="85" t="s">
        <v>57</v>
      </c>
      <c r="D16" s="2" t="s">
        <v>67</v>
      </c>
      <c r="J16" s="90"/>
      <c r="K16" s="1"/>
      <c r="L16" s="1"/>
      <c r="M16" s="1"/>
      <c r="W16" s="14"/>
      <c r="X16" s="62"/>
      <c r="Y16" s="62"/>
      <c r="Z16" s="62"/>
      <c r="AA16" s="62"/>
      <c r="AB16" s="14"/>
      <c r="AC16" s="62"/>
      <c r="AD16" s="62"/>
      <c r="AE16" s="62"/>
      <c r="AF16" s="62"/>
      <c r="AG16" s="62"/>
      <c r="AH16" s="14"/>
      <c r="AI16" s="14"/>
      <c r="AJ16" s="62"/>
      <c r="AK16" s="62"/>
      <c r="AL16" s="62"/>
      <c r="AM16" s="62"/>
    </row>
    <row r="17" spans="1:22" ht="13.5" thickBot="1" x14ac:dyDescent="0.25">
      <c r="C17" s="91" t="s">
        <v>58</v>
      </c>
      <c r="D17" s="2" t="s">
        <v>68</v>
      </c>
      <c r="E17" s="92"/>
      <c r="F17" s="92"/>
      <c r="G17" s="92"/>
      <c r="H17" s="92"/>
      <c r="I17" s="92"/>
      <c r="J17" s="93"/>
    </row>
    <row r="18" spans="1:22" x14ac:dyDescent="0.2">
      <c r="D18" s="84"/>
    </row>
    <row r="19" spans="1:22" x14ac:dyDescent="0.2">
      <c r="D19" s="95"/>
    </row>
    <row r="22" spans="1:22" ht="14.25" customHeight="1" x14ac:dyDescent="0.2">
      <c r="A22" s="28"/>
      <c r="B22" s="28"/>
      <c r="C22" s="28"/>
      <c r="D22" s="28"/>
      <c r="E22" s="28"/>
      <c r="F22" s="28"/>
    </row>
    <row r="23" spans="1:22" ht="13.5" customHeight="1" x14ac:dyDescent="0.2">
      <c r="A23" s="28"/>
      <c r="B23" s="28"/>
      <c r="C23" s="28"/>
      <c r="D23" s="28"/>
      <c r="E23" s="28"/>
      <c r="F23" s="28"/>
    </row>
    <row r="24" spans="1:22" ht="14.25" customHeight="1" x14ac:dyDescent="0.2">
      <c r="A24" s="28"/>
      <c r="B24" s="28"/>
      <c r="C24" s="28"/>
      <c r="D24" s="28"/>
      <c r="E24" s="28"/>
      <c r="F24" s="28"/>
    </row>
    <row r="25" spans="1:22" x14ac:dyDescent="0.2">
      <c r="A25" s="28"/>
      <c r="B25" s="28"/>
      <c r="C25" s="28"/>
      <c r="D25" s="28"/>
      <c r="E25" s="28"/>
      <c r="F25" s="28"/>
    </row>
    <row r="26" spans="1:22" x14ac:dyDescent="0.2">
      <c r="A26" s="28"/>
      <c r="B26" s="28"/>
      <c r="C26" s="28"/>
      <c r="D26" s="28"/>
      <c r="E26" s="28"/>
      <c r="F26" s="28"/>
    </row>
    <row r="27" spans="1:22" x14ac:dyDescent="0.2">
      <c r="A27" s="28"/>
      <c r="B27" s="28"/>
      <c r="C27" s="28"/>
      <c r="D27" s="28"/>
      <c r="E27" s="28"/>
      <c r="F27" s="28"/>
    </row>
    <row r="28" spans="1:22" ht="12.75" customHeight="1" x14ac:dyDescent="0.2"/>
    <row r="29" spans="1:22" ht="11.25" customHeight="1" x14ac:dyDescent="0.2">
      <c r="A29" s="98"/>
      <c r="B29" s="98"/>
      <c r="C29" s="98"/>
      <c r="D29" s="98"/>
      <c r="E29" s="98"/>
      <c r="F29" s="98"/>
      <c r="G29" s="9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2">
      <c r="A30" s="98"/>
      <c r="B30" s="98"/>
      <c r="C30" s="98"/>
      <c r="D30" s="98"/>
      <c r="E30" s="98"/>
      <c r="F30" s="98"/>
      <c r="G30" s="9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2">
      <c r="A31" s="4"/>
      <c r="B31" s="4"/>
      <c r="C31" s="34"/>
      <c r="D31" s="4"/>
      <c r="E31" s="4"/>
      <c r="F31" s="34"/>
      <c r="G31" s="4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 spans="1:22" x14ac:dyDescent="0.2">
      <c r="A32" s="4"/>
      <c r="B32" s="4"/>
      <c r="C32" s="34"/>
      <c r="D32" s="4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7"/>
      <c r="T32" s="37"/>
      <c r="U32" s="37"/>
      <c r="V32" s="35"/>
    </row>
    <row r="33" spans="1:22" x14ac:dyDescent="0.2">
      <c r="A33" s="4"/>
      <c r="B33" s="4"/>
      <c r="C33" s="34"/>
      <c r="D33" s="4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40" spans="1:22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1:22" x14ac:dyDescent="0.2">
      <c r="A41" s="62"/>
      <c r="B41" s="62"/>
      <c r="C41" s="62"/>
      <c r="D41" s="62"/>
      <c r="E41" s="62"/>
      <c r="F41" s="62"/>
      <c r="G41" s="14"/>
      <c r="H41" s="62"/>
      <c r="I41" s="62"/>
      <c r="J41" s="62"/>
      <c r="K41" s="62"/>
      <c r="L41" s="62"/>
      <c r="M41" s="14"/>
      <c r="N41" s="62"/>
      <c r="O41" s="62"/>
      <c r="P41" s="62"/>
      <c r="Q41" s="62"/>
      <c r="R41" s="62"/>
    </row>
    <row r="42" spans="1:22" x14ac:dyDescent="0.2">
      <c r="A42" s="62"/>
      <c r="B42" s="62"/>
      <c r="C42" s="62"/>
      <c r="D42" s="62"/>
      <c r="E42" s="62"/>
      <c r="F42" s="62"/>
      <c r="G42" s="14"/>
      <c r="H42" s="62"/>
      <c r="I42" s="62"/>
      <c r="J42" s="62"/>
      <c r="K42" s="62"/>
      <c r="L42" s="62"/>
      <c r="M42" s="14"/>
      <c r="N42" s="62"/>
      <c r="O42" s="62"/>
      <c r="P42" s="62"/>
      <c r="Q42" s="62"/>
      <c r="R42" s="62"/>
    </row>
    <row r="43" spans="1:22" x14ac:dyDescent="0.2">
      <c r="A43" s="62"/>
      <c r="B43" s="62"/>
      <c r="C43" s="62"/>
      <c r="D43" s="62"/>
      <c r="E43" s="62"/>
      <c r="F43" s="62"/>
      <c r="G43" s="14"/>
      <c r="H43" s="62"/>
      <c r="I43" s="62"/>
      <c r="J43" s="62"/>
      <c r="K43" s="62"/>
      <c r="L43" s="62"/>
      <c r="M43" s="14"/>
      <c r="N43" s="62"/>
      <c r="O43" s="62"/>
      <c r="P43" s="62"/>
      <c r="Q43" s="62"/>
      <c r="R43" s="62"/>
    </row>
    <row r="44" spans="1:22" x14ac:dyDescent="0.2">
      <c r="A44" s="62"/>
      <c r="B44" s="62"/>
      <c r="C44" s="62"/>
      <c r="D44" s="62"/>
      <c r="E44" s="62"/>
      <c r="F44" s="62"/>
      <c r="G44" s="14"/>
      <c r="H44" s="62"/>
      <c r="I44" s="62"/>
      <c r="J44" s="62"/>
      <c r="K44" s="62"/>
      <c r="L44" s="62"/>
      <c r="M44" s="14"/>
      <c r="N44" s="62"/>
      <c r="O44" s="62"/>
      <c r="P44" s="62"/>
      <c r="Q44" s="62"/>
      <c r="R44" s="62"/>
    </row>
    <row r="45" spans="1:22" x14ac:dyDescent="0.2">
      <c r="A45" s="62"/>
      <c r="B45" s="62"/>
      <c r="C45" s="62"/>
      <c r="D45" s="62"/>
      <c r="E45" s="62"/>
      <c r="F45" s="62"/>
      <c r="G45" s="14"/>
      <c r="H45" s="62"/>
      <c r="I45" s="62"/>
      <c r="J45" s="62"/>
      <c r="K45" s="62"/>
      <c r="L45" s="62"/>
      <c r="M45" s="14"/>
      <c r="N45" s="62"/>
      <c r="O45" s="62"/>
      <c r="P45" s="62"/>
      <c r="Q45" s="62"/>
      <c r="R45" s="62"/>
    </row>
    <row r="46" spans="1:22" x14ac:dyDescent="0.2">
      <c r="A46" s="62"/>
      <c r="B46" s="62"/>
      <c r="C46" s="62"/>
      <c r="D46" s="62"/>
      <c r="E46" s="62"/>
      <c r="F46" s="62"/>
      <c r="G46" s="14"/>
      <c r="H46" s="62"/>
      <c r="I46" s="62"/>
      <c r="J46" s="62"/>
      <c r="K46" s="62"/>
      <c r="L46" s="62"/>
      <c r="M46" s="14"/>
      <c r="N46" s="62"/>
      <c r="O46" s="62"/>
      <c r="P46" s="62"/>
      <c r="Q46" s="62"/>
      <c r="R46" s="62"/>
    </row>
    <row r="47" spans="1:22" x14ac:dyDescent="0.2">
      <c r="A47" s="62"/>
      <c r="B47" s="62"/>
      <c r="C47" s="62"/>
      <c r="D47" s="62"/>
      <c r="E47" s="62"/>
      <c r="F47" s="62"/>
      <c r="G47" s="14"/>
      <c r="H47" s="62"/>
      <c r="I47" s="62"/>
      <c r="J47" s="62"/>
      <c r="K47" s="62"/>
      <c r="L47" s="62"/>
      <c r="M47" s="14"/>
      <c r="N47" s="62"/>
      <c r="O47" s="62"/>
      <c r="P47" s="62"/>
      <c r="Q47" s="62"/>
      <c r="R47" s="62"/>
    </row>
    <row r="48" spans="1:22" x14ac:dyDescent="0.2">
      <c r="A48" s="62"/>
      <c r="B48" s="62"/>
      <c r="C48" s="62"/>
      <c r="D48" s="62"/>
      <c r="E48" s="62"/>
      <c r="F48" s="62"/>
      <c r="G48" s="14"/>
      <c r="H48" s="62"/>
      <c r="I48" s="62"/>
      <c r="J48" s="62"/>
      <c r="K48" s="62"/>
      <c r="L48" s="62"/>
      <c r="M48" s="14"/>
      <c r="N48" s="62"/>
      <c r="O48" s="62"/>
      <c r="P48" s="62"/>
      <c r="Q48" s="62"/>
      <c r="R48" s="62"/>
    </row>
    <row r="49" spans="1:18" x14ac:dyDescent="0.2">
      <c r="A49" s="62"/>
      <c r="B49" s="62"/>
      <c r="C49" s="62"/>
      <c r="D49" s="62"/>
      <c r="E49" s="62"/>
      <c r="F49" s="62"/>
      <c r="G49" s="14"/>
      <c r="H49" s="62"/>
      <c r="I49" s="62"/>
      <c r="J49" s="62"/>
      <c r="K49" s="62"/>
      <c r="L49" s="62"/>
      <c r="M49" s="14"/>
      <c r="N49" s="62"/>
      <c r="O49" s="62"/>
      <c r="P49" s="62"/>
      <c r="Q49" s="62"/>
      <c r="R49" s="62"/>
    </row>
    <row r="50" spans="1:18" x14ac:dyDescent="0.2">
      <c r="A50" s="62"/>
      <c r="B50" s="62"/>
      <c r="C50" s="62"/>
      <c r="D50" s="62"/>
      <c r="E50" s="62"/>
      <c r="F50" s="62"/>
      <c r="G50" s="14"/>
      <c r="H50" s="62"/>
      <c r="I50" s="62"/>
      <c r="J50" s="62"/>
      <c r="K50" s="62"/>
      <c r="L50" s="62"/>
      <c r="M50" s="14"/>
      <c r="N50" s="62"/>
      <c r="O50" s="62"/>
      <c r="P50" s="62"/>
      <c r="Q50" s="62"/>
      <c r="R50" s="62"/>
    </row>
    <row r="51" spans="1:18" x14ac:dyDescent="0.2">
      <c r="A51" s="62"/>
      <c r="B51" s="62"/>
      <c r="C51" s="62"/>
      <c r="D51" s="62"/>
      <c r="E51" s="62"/>
      <c r="F51" s="62"/>
      <c r="G51" s="14"/>
      <c r="H51" s="62"/>
      <c r="I51" s="62"/>
      <c r="J51" s="62"/>
      <c r="K51" s="62"/>
      <c r="L51" s="62"/>
      <c r="M51" s="14"/>
      <c r="N51" s="62"/>
      <c r="O51" s="62"/>
      <c r="P51" s="62"/>
      <c r="Q51" s="62"/>
      <c r="R51" s="62"/>
    </row>
    <row r="52" spans="1:18" x14ac:dyDescent="0.2">
      <c r="A52" s="62"/>
      <c r="B52" s="62"/>
      <c r="C52" s="62"/>
      <c r="D52" s="62"/>
      <c r="E52" s="62"/>
      <c r="F52" s="62"/>
      <c r="G52" s="14"/>
      <c r="H52" s="62"/>
      <c r="I52" s="62"/>
      <c r="J52" s="62"/>
      <c r="K52" s="62"/>
      <c r="L52" s="62"/>
      <c r="M52" s="14"/>
      <c r="N52" s="62"/>
      <c r="O52" s="62"/>
      <c r="P52" s="62"/>
      <c r="Q52" s="62"/>
      <c r="R52" s="62"/>
    </row>
    <row r="53" spans="1:18" x14ac:dyDescent="0.2">
      <c r="A53" s="62"/>
      <c r="B53" s="62"/>
      <c r="C53" s="62"/>
      <c r="D53" s="62"/>
      <c r="E53" s="62"/>
      <c r="F53" s="62"/>
      <c r="G53" s="14"/>
      <c r="H53" s="62"/>
      <c r="I53" s="62"/>
      <c r="J53" s="62"/>
      <c r="K53" s="62"/>
      <c r="L53" s="62"/>
      <c r="M53" s="14"/>
      <c r="N53" s="62"/>
      <c r="O53" s="62"/>
      <c r="P53" s="62"/>
      <c r="Q53" s="62"/>
      <c r="R53" s="62"/>
    </row>
    <row r="54" spans="1:18" x14ac:dyDescent="0.2">
      <c r="A54" s="62"/>
      <c r="B54" s="62"/>
      <c r="C54" s="62"/>
      <c r="D54" s="62"/>
      <c r="E54" s="62"/>
      <c r="F54" s="62"/>
      <c r="G54" s="14"/>
      <c r="H54" s="62"/>
      <c r="I54" s="62"/>
      <c r="J54" s="62"/>
      <c r="K54" s="62"/>
      <c r="L54" s="62"/>
      <c r="M54" s="14"/>
      <c r="N54" s="62"/>
      <c r="O54" s="62"/>
      <c r="P54" s="62"/>
      <c r="Q54" s="62"/>
      <c r="R54" s="62"/>
    </row>
    <row r="55" spans="1:18" x14ac:dyDescent="0.2">
      <c r="A55" s="62"/>
      <c r="B55" s="62"/>
      <c r="C55" s="62"/>
      <c r="D55" s="62"/>
      <c r="E55" s="62"/>
      <c r="F55" s="62"/>
      <c r="G55" s="14"/>
      <c r="H55" s="62"/>
      <c r="I55" s="62"/>
      <c r="J55" s="62"/>
      <c r="K55" s="62"/>
      <c r="L55" s="62"/>
      <c r="M55" s="14"/>
      <c r="N55" s="62"/>
      <c r="O55" s="62"/>
      <c r="P55" s="62"/>
      <c r="Q55" s="62"/>
      <c r="R55" s="62"/>
    </row>
    <row r="56" spans="1:18" x14ac:dyDescent="0.2">
      <c r="A56" s="62"/>
      <c r="B56" s="62"/>
      <c r="C56" s="62"/>
      <c r="D56" s="62"/>
      <c r="E56" s="62"/>
      <c r="F56" s="62"/>
      <c r="G56" s="14"/>
      <c r="H56" s="62"/>
      <c r="I56" s="62"/>
      <c r="J56" s="62"/>
      <c r="K56" s="62"/>
      <c r="L56" s="62"/>
      <c r="M56" s="14"/>
      <c r="N56" s="62"/>
      <c r="O56" s="62"/>
      <c r="P56" s="62"/>
      <c r="Q56" s="62"/>
      <c r="R56" s="62"/>
    </row>
  </sheetData>
  <mergeCells count="8">
    <mergeCell ref="I4:L4"/>
    <mergeCell ref="M4:Q4"/>
    <mergeCell ref="R4:V4"/>
    <mergeCell ref="A4:A5"/>
    <mergeCell ref="C4:C5"/>
    <mergeCell ref="D4:D5"/>
    <mergeCell ref="E4:H4"/>
    <mergeCell ref="B4:B5"/>
  </mergeCells>
  <phoneticPr fontId="0" type="noConversion"/>
  <pageMargins left="0.75" right="0.75" top="1" bottom="1" header="0.5" footer="0.5"/>
  <pageSetup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Udyoga Bhawan</vt:lpstr>
      <vt:lpstr>Kupwad</vt:lpstr>
      <vt:lpstr>Rajawada Chowk</vt:lpstr>
      <vt:lpstr>Monthly 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 G Sonavane</dc:creator>
  <cp:lastModifiedBy>Pratap Sonavane</cp:lastModifiedBy>
  <cp:lastPrinted>2013-07-11T09:47:48Z</cp:lastPrinted>
  <dcterms:created xsi:type="dcterms:W3CDTF">1996-10-14T23:33:28Z</dcterms:created>
  <dcterms:modified xsi:type="dcterms:W3CDTF">2024-02-12T10:27:51Z</dcterms:modified>
</cp:coreProperties>
</file>