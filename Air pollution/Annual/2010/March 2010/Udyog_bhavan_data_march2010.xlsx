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r\Air pollution\Annual\2010\March 2010\"/>
    </mc:Choice>
  </mc:AlternateContent>
  <xr:revisionPtr revIDLastSave="0" documentId="13_ncr:1_{E2403F16-9490-4A3D-BC73-94BA3808EF93}" xr6:coauthVersionLast="47" xr6:coauthVersionMax="47" xr10:uidLastSave="{00000000-0000-0000-0000-000000000000}"/>
  <bookViews>
    <workbookView xWindow="-108" yWindow="-108" windowWidth="23256" windowHeight="12456" xr2:uid="{D9DCD898-AABC-44D4-8179-B883D2853F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D54" i="1"/>
  <c r="D53" i="1"/>
  <c r="D52" i="1"/>
  <c r="D51" i="1"/>
  <c r="D50" i="1"/>
  <c r="E50" i="1" s="1"/>
  <c r="D49" i="1"/>
  <c r="D48" i="1"/>
  <c r="D47" i="1"/>
  <c r="D46" i="1"/>
  <c r="D45" i="1"/>
  <c r="E44" i="1" s="1"/>
  <c r="D44" i="1"/>
  <c r="D43" i="1"/>
  <c r="D42" i="1"/>
  <c r="D41" i="1"/>
  <c r="D40" i="1"/>
  <c r="D39" i="1"/>
  <c r="D38" i="1"/>
  <c r="E38" i="1" s="1"/>
  <c r="D37" i="1"/>
  <c r="D36" i="1"/>
  <c r="D35" i="1"/>
  <c r="D34" i="1"/>
  <c r="D33" i="1"/>
  <c r="D32" i="1"/>
  <c r="E32" i="1" s="1"/>
  <c r="D31" i="1"/>
  <c r="D30" i="1"/>
  <c r="D29" i="1"/>
  <c r="D28" i="1"/>
  <c r="D27" i="1"/>
  <c r="E26" i="1" s="1"/>
  <c r="D26" i="1"/>
  <c r="D25" i="1"/>
  <c r="D24" i="1"/>
  <c r="D23" i="1"/>
  <c r="D22" i="1"/>
  <c r="D21" i="1"/>
  <c r="E20" i="1" s="1"/>
  <c r="D20" i="1"/>
  <c r="D19" i="1"/>
  <c r="D18" i="1"/>
  <c r="D17" i="1"/>
  <c r="D16" i="1"/>
  <c r="D15" i="1"/>
  <c r="D14" i="1"/>
  <c r="E14" i="1" s="1"/>
  <c r="D13" i="1"/>
  <c r="D12" i="1"/>
  <c r="D11" i="1"/>
  <c r="D10" i="1"/>
  <c r="D9" i="1"/>
  <c r="D8" i="1"/>
  <c r="E8" i="1" s="1"/>
  <c r="D7" i="1"/>
  <c r="D6" i="1"/>
  <c r="D5" i="1"/>
  <c r="D4" i="1"/>
  <c r="D3" i="1"/>
  <c r="E2" i="1" s="1"/>
  <c r="D2" i="1"/>
</calcChain>
</file>

<file path=xl/sharedStrings.xml><?xml version="1.0" encoding="utf-8"?>
<sst xmlns="http://schemas.openxmlformats.org/spreadsheetml/2006/main" count="10" uniqueCount="10">
  <si>
    <t>Date</t>
  </si>
  <si>
    <t>Abs.</t>
  </si>
  <si>
    <r>
      <t>V(m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</si>
  <si>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Conc.</t>
  </si>
  <si>
    <t>Aveg.</t>
  </si>
  <si>
    <t>15/3/10</t>
  </si>
  <si>
    <t>19/3/10</t>
  </si>
  <si>
    <t>22/3/10</t>
  </si>
  <si>
    <t>26/3/10</t>
  </si>
  <si>
    <t>29/3/10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</si>
</sst>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0" fillId="0" borderId="0" xfId="0" applyNumberFormat="1" applyBorder="1"/>
    <xf numFmtId="0" fontId="0" fillId="0" borderId="0" xfId="0" applyBorder="1"/>
    <xf numFmtId="1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879E-6C1A-47A9-A910-CE85C545F22B}">
  <dimension ref="A1:E55"/>
  <sheetViews>
    <sheetView tabSelected="1" workbookViewId="0">
      <selection activeCell="J16" sqref="J16"/>
    </sheetView>
  </sheetViews>
  <sheetFormatPr defaultRowHeight="14.4" x14ac:dyDescent="0.3"/>
  <cols>
    <col min="1" max="1" width="9.5546875" bestFit="1" customWidth="1"/>
  </cols>
  <sheetData>
    <row r="1" spans="1:5" ht="16.2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spans="1:5" x14ac:dyDescent="0.3">
      <c r="A2" s="3"/>
      <c r="B2" s="4">
        <v>2.5000000000000001E-2</v>
      </c>
      <c r="C2" s="4">
        <v>228</v>
      </c>
      <c r="D2" s="5">
        <f t="shared" ref="D2:D55" si="0">(B2*1000*161)/C2</f>
        <v>17.653508771929825</v>
      </c>
      <c r="E2" s="6">
        <f>AVERAGE(D2:D7)</f>
        <v>15.979694606887591</v>
      </c>
    </row>
    <row r="3" spans="1:5" x14ac:dyDescent="0.3">
      <c r="A3" s="4"/>
      <c r="B3" s="4">
        <v>2.5000000000000001E-2</v>
      </c>
      <c r="C3" s="4">
        <v>216</v>
      </c>
      <c r="D3" s="5">
        <f t="shared" si="0"/>
        <v>18.63425925925926</v>
      </c>
      <c r="E3" s="6"/>
    </row>
    <row r="4" spans="1:5" x14ac:dyDescent="0.3">
      <c r="A4" s="4"/>
      <c r="B4" s="4">
        <v>1.9E-2</v>
      </c>
      <c r="C4" s="4">
        <v>216</v>
      </c>
      <c r="D4" s="5">
        <f t="shared" si="0"/>
        <v>14.162037037037036</v>
      </c>
      <c r="E4" s="6"/>
    </row>
    <row r="5" spans="1:5" x14ac:dyDescent="0.3">
      <c r="A5" s="4"/>
      <c r="B5" s="4">
        <v>1.9E-2</v>
      </c>
      <c r="C5" s="4">
        <v>216</v>
      </c>
      <c r="D5" s="5">
        <f t="shared" si="0"/>
        <v>14.162037037037036</v>
      </c>
      <c r="E5" s="6"/>
    </row>
    <row r="6" spans="1:5" x14ac:dyDescent="0.3">
      <c r="A6" s="4"/>
      <c r="B6" s="4">
        <v>0.02</v>
      </c>
      <c r="C6" s="4">
        <v>228</v>
      </c>
      <c r="D6" s="5">
        <f t="shared" si="0"/>
        <v>14.12280701754386</v>
      </c>
      <c r="E6" s="6"/>
    </row>
    <row r="7" spans="1:5" x14ac:dyDescent="0.3">
      <c r="A7" s="4"/>
      <c r="B7" s="4">
        <v>2.3E-2</v>
      </c>
      <c r="C7" s="4">
        <v>216</v>
      </c>
      <c r="D7" s="5">
        <f t="shared" si="0"/>
        <v>17.143518518518519</v>
      </c>
      <c r="E7" s="6"/>
    </row>
    <row r="8" spans="1:5" x14ac:dyDescent="0.3">
      <c r="A8" s="3">
        <v>40302</v>
      </c>
      <c r="B8" s="4">
        <v>2.5000000000000001E-2</v>
      </c>
      <c r="C8" s="4">
        <v>228</v>
      </c>
      <c r="D8" s="5">
        <f t="shared" si="0"/>
        <v>17.653508771929825</v>
      </c>
      <c r="E8" s="6">
        <f>AVERAGE(D8:D13)</f>
        <v>16.194152046783625</v>
      </c>
    </row>
    <row r="9" spans="1:5" x14ac:dyDescent="0.3">
      <c r="A9" s="4"/>
      <c r="B9" s="4">
        <v>2.5999999999999999E-2</v>
      </c>
      <c r="C9" s="4">
        <v>240</v>
      </c>
      <c r="D9" s="5">
        <f t="shared" si="0"/>
        <v>17.441666666666666</v>
      </c>
      <c r="E9" s="6"/>
    </row>
    <row r="10" spans="1:5" x14ac:dyDescent="0.3">
      <c r="A10" s="4"/>
      <c r="B10" s="4">
        <v>2.1000000000000001E-2</v>
      </c>
      <c r="C10" s="4">
        <v>228</v>
      </c>
      <c r="D10" s="5">
        <f t="shared" si="0"/>
        <v>14.828947368421053</v>
      </c>
      <c r="E10" s="6"/>
    </row>
    <row r="11" spans="1:5" x14ac:dyDescent="0.3">
      <c r="A11" s="4"/>
      <c r="B11" s="4">
        <v>2.5000000000000001E-2</v>
      </c>
      <c r="C11" s="4">
        <v>228</v>
      </c>
      <c r="D11" s="5">
        <f t="shared" si="0"/>
        <v>17.653508771929825</v>
      </c>
      <c r="E11" s="6"/>
    </row>
    <row r="12" spans="1:5" x14ac:dyDescent="0.3">
      <c r="A12" s="4"/>
      <c r="B12" s="4">
        <v>2.1999999999999999E-2</v>
      </c>
      <c r="C12" s="4">
        <v>240</v>
      </c>
      <c r="D12" s="5">
        <f t="shared" si="0"/>
        <v>14.758333333333333</v>
      </c>
      <c r="E12" s="6"/>
    </row>
    <row r="13" spans="1:5" x14ac:dyDescent="0.3">
      <c r="A13" s="4"/>
      <c r="B13" s="4">
        <v>2.1000000000000001E-2</v>
      </c>
      <c r="C13" s="4">
        <v>228</v>
      </c>
      <c r="D13" s="5">
        <f t="shared" si="0"/>
        <v>14.828947368421053</v>
      </c>
      <c r="E13" s="6"/>
    </row>
    <row r="14" spans="1:5" x14ac:dyDescent="0.3">
      <c r="A14" s="3">
        <v>40393</v>
      </c>
      <c r="B14" s="4">
        <v>2.1000000000000001E-2</v>
      </c>
      <c r="C14" s="4">
        <v>228</v>
      </c>
      <c r="D14" s="5">
        <f t="shared" si="0"/>
        <v>14.828947368421053</v>
      </c>
      <c r="E14" s="6">
        <f>AVERAGE(D14:D19)</f>
        <v>13.187171052631578</v>
      </c>
    </row>
    <row r="15" spans="1:5" x14ac:dyDescent="0.3">
      <c r="A15" s="4"/>
      <c r="B15" s="4">
        <v>1.7000000000000001E-2</v>
      </c>
      <c r="C15" s="4">
        <v>228</v>
      </c>
      <c r="D15" s="5">
        <f t="shared" si="0"/>
        <v>12.004385964912281</v>
      </c>
      <c r="E15" s="6"/>
    </row>
    <row r="16" spans="1:5" x14ac:dyDescent="0.3">
      <c r="A16" s="4"/>
      <c r="B16" s="4">
        <v>1.7999999999999999E-2</v>
      </c>
      <c r="C16" s="4">
        <v>228</v>
      </c>
      <c r="D16" s="5">
        <f t="shared" si="0"/>
        <v>12.710526315789474</v>
      </c>
      <c r="E16" s="6"/>
    </row>
    <row r="17" spans="1:5" x14ac:dyDescent="0.3">
      <c r="A17" s="4"/>
      <c r="B17" s="4">
        <v>1.7999999999999999E-2</v>
      </c>
      <c r="C17" s="4">
        <v>216</v>
      </c>
      <c r="D17" s="5">
        <f>(B17*1000*161)/C17</f>
        <v>13.416666666666666</v>
      </c>
      <c r="E17" s="6"/>
    </row>
    <row r="18" spans="1:5" x14ac:dyDescent="0.3">
      <c r="A18" s="4"/>
      <c r="B18" s="4">
        <v>1.7999999999999999E-2</v>
      </c>
      <c r="C18" s="4">
        <v>216</v>
      </c>
      <c r="D18" s="5">
        <f t="shared" si="0"/>
        <v>13.416666666666666</v>
      </c>
      <c r="E18" s="6"/>
    </row>
    <row r="19" spans="1:5" x14ac:dyDescent="0.3">
      <c r="A19" s="4"/>
      <c r="B19" s="4">
        <v>1.9E-2</v>
      </c>
      <c r="C19" s="4">
        <v>240</v>
      </c>
      <c r="D19" s="5">
        <f t="shared" si="0"/>
        <v>12.745833333333334</v>
      </c>
      <c r="E19" s="6"/>
    </row>
    <row r="20" spans="1:5" x14ac:dyDescent="0.3">
      <c r="A20" s="7">
        <v>40515</v>
      </c>
      <c r="B20" s="4">
        <v>1.4999999999999999E-2</v>
      </c>
      <c r="C20" s="4">
        <v>228</v>
      </c>
      <c r="D20" s="5">
        <f t="shared" si="0"/>
        <v>10.592105263157896</v>
      </c>
      <c r="E20" s="6">
        <f>AVERAGE(D20:D25)</f>
        <v>13.444358445132437</v>
      </c>
    </row>
    <row r="21" spans="1:5" x14ac:dyDescent="0.3">
      <c r="A21" s="4"/>
      <c r="B21" s="4">
        <v>1.6E-2</v>
      </c>
      <c r="C21" s="4">
        <v>228</v>
      </c>
      <c r="D21" s="5">
        <f t="shared" si="0"/>
        <v>11.298245614035087</v>
      </c>
      <c r="E21" s="6"/>
    </row>
    <row r="22" spans="1:5" x14ac:dyDescent="0.3">
      <c r="A22" s="4"/>
      <c r="B22" s="4">
        <v>1.7000000000000001E-2</v>
      </c>
      <c r="C22" s="4">
        <v>204</v>
      </c>
      <c r="D22" s="5">
        <f t="shared" si="0"/>
        <v>13.416666666666666</v>
      </c>
      <c r="E22" s="6"/>
    </row>
    <row r="23" spans="1:5" x14ac:dyDescent="0.3">
      <c r="A23" s="4"/>
      <c r="B23" s="4">
        <v>1.9E-2</v>
      </c>
      <c r="C23" s="4">
        <v>204</v>
      </c>
      <c r="D23" s="5">
        <f t="shared" si="0"/>
        <v>14.995098039215685</v>
      </c>
      <c r="E23" s="6"/>
    </row>
    <row r="24" spans="1:5" x14ac:dyDescent="0.3">
      <c r="A24" s="4"/>
      <c r="B24" s="4">
        <v>1.7999999999999999E-2</v>
      </c>
      <c r="C24" s="4">
        <v>216</v>
      </c>
      <c r="D24" s="5">
        <f t="shared" si="0"/>
        <v>13.416666666666666</v>
      </c>
      <c r="E24" s="6"/>
    </row>
    <row r="25" spans="1:5" x14ac:dyDescent="0.3">
      <c r="A25" s="4"/>
      <c r="B25" s="4">
        <v>2.4E-2</v>
      </c>
      <c r="C25" s="4">
        <v>228</v>
      </c>
      <c r="D25" s="5">
        <f t="shared" si="0"/>
        <v>16.94736842105263</v>
      </c>
      <c r="E25" s="6"/>
    </row>
    <row r="26" spans="1:5" x14ac:dyDescent="0.3">
      <c r="A26" s="7" t="s">
        <v>5</v>
      </c>
      <c r="B26" s="4">
        <v>0.02</v>
      </c>
      <c r="C26" s="4">
        <v>228</v>
      </c>
      <c r="D26" s="5">
        <f t="shared" si="0"/>
        <v>14.12280701754386</v>
      </c>
      <c r="E26" s="6">
        <f>AVERAGE(D26:D31)</f>
        <v>15.214709226770632</v>
      </c>
    </row>
    <row r="27" spans="1:5" x14ac:dyDescent="0.3">
      <c r="A27" s="4"/>
      <c r="B27" s="4">
        <v>2.1000000000000001E-2</v>
      </c>
      <c r="C27" s="4">
        <v>228</v>
      </c>
      <c r="D27" s="5">
        <f t="shared" si="0"/>
        <v>14.828947368421053</v>
      </c>
      <c r="E27" s="6"/>
    </row>
    <row r="28" spans="1:5" x14ac:dyDescent="0.3">
      <c r="A28" s="4"/>
      <c r="B28" s="4">
        <v>2.3E-2</v>
      </c>
      <c r="C28" s="4">
        <v>216</v>
      </c>
      <c r="D28" s="5">
        <f t="shared" si="0"/>
        <v>17.143518518518519</v>
      </c>
      <c r="E28" s="6"/>
    </row>
    <row r="29" spans="1:5" x14ac:dyDescent="0.3">
      <c r="A29" s="4"/>
      <c r="B29" s="4">
        <v>2.3E-2</v>
      </c>
      <c r="C29" s="4">
        <v>228</v>
      </c>
      <c r="D29" s="5">
        <f t="shared" si="0"/>
        <v>16.241228070175438</v>
      </c>
      <c r="E29" s="6"/>
    </row>
    <row r="30" spans="1:5" x14ac:dyDescent="0.3">
      <c r="A30" s="4"/>
      <c r="B30" s="4">
        <v>2.3E-2</v>
      </c>
      <c r="C30" s="4">
        <v>228</v>
      </c>
      <c r="D30" s="5">
        <f t="shared" si="0"/>
        <v>16.241228070175438</v>
      </c>
      <c r="E30" s="6"/>
    </row>
    <row r="31" spans="1:5" x14ac:dyDescent="0.3">
      <c r="A31" s="4"/>
      <c r="B31" s="4">
        <v>1.7999999999999999E-2</v>
      </c>
      <c r="C31" s="4">
        <v>228</v>
      </c>
      <c r="D31" s="5">
        <f t="shared" si="0"/>
        <v>12.710526315789474</v>
      </c>
      <c r="E31" s="6"/>
    </row>
    <row r="32" spans="1:5" x14ac:dyDescent="0.3">
      <c r="A32" s="7" t="s">
        <v>6</v>
      </c>
      <c r="B32" s="4">
        <v>0.02</v>
      </c>
      <c r="C32" s="4">
        <v>228</v>
      </c>
      <c r="D32" s="5">
        <f t="shared" si="0"/>
        <v>14.12280701754386</v>
      </c>
      <c r="E32" s="6">
        <f>AVERAGE(D32:D37)</f>
        <v>13.977040572564311</v>
      </c>
    </row>
    <row r="33" spans="1:5" x14ac:dyDescent="0.3">
      <c r="A33" s="4"/>
      <c r="B33" s="4">
        <v>1.4999999999999999E-2</v>
      </c>
      <c r="C33" s="4">
        <v>228</v>
      </c>
      <c r="D33" s="5">
        <f t="shared" si="0"/>
        <v>10.592105263157896</v>
      </c>
      <c r="E33" s="6"/>
    </row>
    <row r="34" spans="1:5" x14ac:dyDescent="0.3">
      <c r="A34" s="4"/>
      <c r="B34" s="4">
        <v>1.9E-2</v>
      </c>
      <c r="C34" s="4">
        <v>216</v>
      </c>
      <c r="D34" s="5">
        <f t="shared" si="0"/>
        <v>14.162037037037036</v>
      </c>
      <c r="E34" s="6"/>
    </row>
    <row r="35" spans="1:5" x14ac:dyDescent="0.3">
      <c r="A35" s="4"/>
      <c r="B35" s="4">
        <v>2.1000000000000001E-2</v>
      </c>
      <c r="C35" s="4">
        <v>204</v>
      </c>
      <c r="D35" s="5">
        <f t="shared" si="0"/>
        <v>16.573529411764707</v>
      </c>
      <c r="E35" s="6"/>
    </row>
    <row r="36" spans="1:5" x14ac:dyDescent="0.3">
      <c r="A36" s="4"/>
      <c r="B36" s="4">
        <v>1.7999999999999999E-2</v>
      </c>
      <c r="C36" s="4">
        <v>216</v>
      </c>
      <c r="D36" s="5">
        <f t="shared" si="0"/>
        <v>13.416666666666666</v>
      </c>
      <c r="E36" s="6"/>
    </row>
    <row r="37" spans="1:5" x14ac:dyDescent="0.3">
      <c r="A37" s="4"/>
      <c r="B37" s="4">
        <v>1.9E-2</v>
      </c>
      <c r="C37" s="4">
        <v>204</v>
      </c>
      <c r="D37" s="5">
        <f t="shared" si="0"/>
        <v>14.995098039215685</v>
      </c>
      <c r="E37" s="6"/>
    </row>
    <row r="38" spans="1:5" x14ac:dyDescent="0.3">
      <c r="A38" s="7" t="s">
        <v>7</v>
      </c>
      <c r="B38" s="4">
        <v>2.1999999999999999E-2</v>
      </c>
      <c r="C38" s="4">
        <v>204</v>
      </c>
      <c r="D38" s="5">
        <f t="shared" si="0"/>
        <v>17.362745098039216</v>
      </c>
      <c r="E38" s="6">
        <f>AVERAGE(D38:D43)</f>
        <v>17.153518327408936</v>
      </c>
    </row>
    <row r="39" spans="1:5" x14ac:dyDescent="0.3">
      <c r="A39" s="4"/>
      <c r="B39" s="4">
        <v>2.1000000000000001E-2</v>
      </c>
      <c r="C39" s="4">
        <v>228</v>
      </c>
      <c r="D39" s="5">
        <f t="shared" si="0"/>
        <v>14.828947368421053</v>
      </c>
      <c r="E39" s="6"/>
    </row>
    <row r="40" spans="1:5" x14ac:dyDescent="0.3">
      <c r="A40" s="4"/>
      <c r="B40" s="4">
        <v>2.1999999999999999E-2</v>
      </c>
      <c r="C40" s="4">
        <v>216</v>
      </c>
      <c r="D40" s="5">
        <f t="shared" si="0"/>
        <v>16.398148148148149</v>
      </c>
      <c r="E40" s="6"/>
    </row>
    <row r="41" spans="1:5" x14ac:dyDescent="0.3">
      <c r="A41" s="4"/>
      <c r="B41" s="4">
        <v>2.3E-2</v>
      </c>
      <c r="C41" s="4">
        <v>228</v>
      </c>
      <c r="D41" s="5">
        <f t="shared" si="0"/>
        <v>16.241228070175438</v>
      </c>
      <c r="E41" s="6"/>
    </row>
    <row r="42" spans="1:5" x14ac:dyDescent="0.3">
      <c r="A42" s="4"/>
      <c r="B42" s="4">
        <v>2.5000000000000001E-2</v>
      </c>
      <c r="C42" s="4">
        <v>204</v>
      </c>
      <c r="D42" s="5">
        <f t="shared" si="0"/>
        <v>19.730392156862745</v>
      </c>
      <c r="E42" s="6"/>
    </row>
    <row r="43" spans="1:5" x14ac:dyDescent="0.3">
      <c r="A43" s="4"/>
      <c r="B43" s="4">
        <v>2.5999999999999999E-2</v>
      </c>
      <c r="C43" s="4">
        <v>228</v>
      </c>
      <c r="D43" s="5">
        <f t="shared" si="0"/>
        <v>18.359649122807017</v>
      </c>
      <c r="E43" s="6"/>
    </row>
    <row r="44" spans="1:5" x14ac:dyDescent="0.3">
      <c r="A44" s="7" t="s">
        <v>8</v>
      </c>
      <c r="B44" s="4">
        <v>2.1999999999999999E-2</v>
      </c>
      <c r="C44" s="4">
        <v>228</v>
      </c>
      <c r="D44" s="5">
        <f t="shared" si="0"/>
        <v>15.535087719298245</v>
      </c>
      <c r="E44" s="6">
        <f>AVERAGE(D44:D49)</f>
        <v>15.479319554332456</v>
      </c>
    </row>
    <row r="45" spans="1:5" x14ac:dyDescent="0.3">
      <c r="A45" s="4"/>
      <c r="B45" s="4">
        <v>2.4E-2</v>
      </c>
      <c r="C45" s="4">
        <v>228</v>
      </c>
      <c r="D45" s="5">
        <f t="shared" si="0"/>
        <v>16.94736842105263</v>
      </c>
      <c r="E45" s="6"/>
    </row>
    <row r="46" spans="1:5" x14ac:dyDescent="0.3">
      <c r="A46" s="4"/>
      <c r="B46" s="4">
        <v>2.3E-2</v>
      </c>
      <c r="C46" s="4">
        <v>228</v>
      </c>
      <c r="D46" s="5">
        <f t="shared" si="0"/>
        <v>16.241228070175438</v>
      </c>
      <c r="E46" s="6"/>
    </row>
    <row r="47" spans="1:5" x14ac:dyDescent="0.3">
      <c r="A47" s="4"/>
      <c r="B47" s="4">
        <v>2.1000000000000001E-2</v>
      </c>
      <c r="C47" s="4">
        <v>204</v>
      </c>
      <c r="D47" s="5">
        <f t="shared" si="0"/>
        <v>16.573529411764707</v>
      </c>
      <c r="E47" s="6"/>
    </row>
    <row r="48" spans="1:5" x14ac:dyDescent="0.3">
      <c r="A48" s="4"/>
      <c r="B48" s="4">
        <v>1.7000000000000001E-2</v>
      </c>
      <c r="C48" s="4">
        <v>204</v>
      </c>
      <c r="D48" s="5">
        <f t="shared" si="0"/>
        <v>13.416666666666666</v>
      </c>
      <c r="E48" s="6"/>
    </row>
    <row r="49" spans="1:5" x14ac:dyDescent="0.3">
      <c r="A49" s="4"/>
      <c r="B49" s="4">
        <v>1.9E-2</v>
      </c>
      <c r="C49" s="4">
        <v>216</v>
      </c>
      <c r="D49" s="5">
        <f t="shared" si="0"/>
        <v>14.162037037037036</v>
      </c>
      <c r="E49" s="6"/>
    </row>
    <row r="50" spans="1:5" x14ac:dyDescent="0.3">
      <c r="A50" s="7" t="s">
        <v>9</v>
      </c>
      <c r="B50" s="4">
        <v>1.4E-2</v>
      </c>
      <c r="C50" s="4">
        <v>228</v>
      </c>
      <c r="D50" s="5">
        <f t="shared" si="0"/>
        <v>9.8859649122807021</v>
      </c>
      <c r="E50" s="6">
        <f>AVERAGE(D50:D55)</f>
        <v>13.416666666666666</v>
      </c>
    </row>
    <row r="51" spans="1:5" x14ac:dyDescent="0.3">
      <c r="A51" s="4"/>
      <c r="B51" s="4">
        <v>2.1000000000000001E-2</v>
      </c>
      <c r="C51" s="4">
        <v>228</v>
      </c>
      <c r="D51" s="5">
        <f t="shared" si="0"/>
        <v>14.828947368421053</v>
      </c>
      <c r="E51" s="6"/>
    </row>
    <row r="52" spans="1:5" x14ac:dyDescent="0.3">
      <c r="A52" s="4"/>
      <c r="B52" s="4">
        <v>1.9E-2</v>
      </c>
      <c r="C52" s="4">
        <v>216</v>
      </c>
      <c r="D52" s="5">
        <f t="shared" si="0"/>
        <v>14.162037037037036</v>
      </c>
      <c r="E52" s="6"/>
    </row>
    <row r="53" spans="1:5" x14ac:dyDescent="0.3">
      <c r="A53" s="4"/>
      <c r="B53" s="4">
        <v>2.1999999999999999E-2</v>
      </c>
      <c r="C53" s="4">
        <v>228</v>
      </c>
      <c r="D53" s="5">
        <f t="shared" si="0"/>
        <v>15.535087719298245</v>
      </c>
      <c r="E53" s="6"/>
    </row>
    <row r="54" spans="1:5" x14ac:dyDescent="0.3">
      <c r="A54" s="4"/>
      <c r="B54" s="4">
        <v>1.7999999999999999E-2</v>
      </c>
      <c r="C54" s="4">
        <v>216</v>
      </c>
      <c r="D54" s="5">
        <f t="shared" si="0"/>
        <v>13.416666666666666</v>
      </c>
      <c r="E54" s="6"/>
    </row>
    <row r="55" spans="1:5" x14ac:dyDescent="0.3">
      <c r="A55" s="4"/>
      <c r="B55" s="4">
        <v>1.7000000000000001E-2</v>
      </c>
      <c r="C55" s="4">
        <v>216</v>
      </c>
      <c r="D55" s="5">
        <f t="shared" si="0"/>
        <v>12.671296296296296</v>
      </c>
      <c r="E55" s="6"/>
    </row>
  </sheetData>
  <mergeCells count="9">
    <mergeCell ref="E38:E43"/>
    <mergeCell ref="E44:E49"/>
    <mergeCell ref="E50:E55"/>
    <mergeCell ref="E2:E7"/>
    <mergeCell ref="E8:E13"/>
    <mergeCell ref="E14:E19"/>
    <mergeCell ref="E20:E25"/>
    <mergeCell ref="E26:E31"/>
    <mergeCell ref="E32:E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Umbrajkar</dc:creator>
  <cp:lastModifiedBy>Sneha Umbrajkar</cp:lastModifiedBy>
  <dcterms:created xsi:type="dcterms:W3CDTF">2025-08-21T11:19:40Z</dcterms:created>
  <dcterms:modified xsi:type="dcterms:W3CDTF">2025-08-21T11:20:55Z</dcterms:modified>
</cp:coreProperties>
</file>