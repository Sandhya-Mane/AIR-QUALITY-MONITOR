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filterPrivacy="1"/>
  <xr:revisionPtr revIDLastSave="0" documentId="13_ncr:1_{EF0B55A5-107F-4F20-9447-3A2E646E00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7" i="1" l="1"/>
  <c r="G37" i="1"/>
  <c r="I37" i="1"/>
  <c r="K37" i="1"/>
  <c r="M37" i="1"/>
  <c r="O37" i="1"/>
  <c r="Q37" i="1"/>
  <c r="S37" i="1"/>
  <c r="U37" i="1"/>
  <c r="W37" i="1"/>
  <c r="Y37" i="1"/>
  <c r="C37" i="1"/>
  <c r="E35" i="1"/>
  <c r="G35" i="1"/>
  <c r="I35" i="1"/>
  <c r="K35" i="1"/>
  <c r="M35" i="1"/>
  <c r="O35" i="1"/>
  <c r="Q35" i="1"/>
  <c r="S35" i="1"/>
  <c r="U35" i="1"/>
  <c r="W35" i="1"/>
  <c r="Y35" i="1"/>
  <c r="C35" i="1"/>
  <c r="E36" i="1"/>
  <c r="G36" i="1"/>
  <c r="I36" i="1"/>
  <c r="K36" i="1"/>
  <c r="M36" i="1"/>
  <c r="O36" i="1"/>
  <c r="Q36" i="1"/>
  <c r="S36" i="1"/>
  <c r="U36" i="1"/>
  <c r="W36" i="1"/>
  <c r="Y36" i="1"/>
  <c r="C36" i="1"/>
  <c r="C41" i="1"/>
  <c r="C42" i="1"/>
  <c r="C43" i="1"/>
  <c r="C44" i="1"/>
  <c r="C45" i="1"/>
  <c r="C46" i="1"/>
  <c r="C47" i="1"/>
  <c r="C48" i="1"/>
  <c r="C49" i="1"/>
  <c r="C50" i="1"/>
  <c r="C40" i="1"/>
  <c r="C39" i="1"/>
</calcChain>
</file>

<file path=xl/sharedStrings.xml><?xml version="1.0" encoding="utf-8"?>
<sst xmlns="http://schemas.openxmlformats.org/spreadsheetml/2006/main" count="51" uniqueCount="21">
  <si>
    <t>None</t>
  </si>
  <si>
    <t xml:space="preserve"> Date</t>
  </si>
  <si>
    <t xml:space="preserve">January 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</si>
  <si>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</si>
  <si>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</si>
  <si>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</si>
  <si>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</si>
  <si>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</si>
  <si>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</si>
  <si>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</si>
  <si>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</si>
  <si>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</si>
  <si>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</si>
  <si>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</si>
  <si>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r>
      <t xml:space="preserve">PM2.5 </t>
    </r>
    <r>
      <rPr>
        <b/>
        <sz val="11"/>
        <color theme="1"/>
        <rFont val="Calibri"/>
        <family val="2"/>
      </rPr>
      <t>μg/m</t>
    </r>
    <r>
      <rPr>
        <b/>
        <vertAlign val="superscript"/>
        <sz val="11"/>
        <color theme="1"/>
        <rFont val="Calibri"/>
        <family val="2"/>
      </rPr>
      <t>3</t>
    </r>
  </si>
  <si>
    <r>
      <t xml:space="preserve">PM  2.5 </t>
    </r>
    <r>
      <rPr>
        <b/>
        <sz val="11"/>
        <color theme="1"/>
        <rFont val="Calibri"/>
        <family val="2"/>
      </rPr>
      <t>μg/m</t>
    </r>
    <r>
      <rPr>
        <b/>
        <vertAlign val="superscript"/>
        <sz val="11"/>
        <color theme="1"/>
        <rFont val="Calibri"/>
        <family val="2"/>
      </rPr>
      <t>3</t>
    </r>
  </si>
  <si>
    <t xml:space="preserve">01.01.2024  </t>
  </si>
  <si>
    <t>Concentration of PM  2.5 for the year 2024 as per the CAAQMS at Vijaynagar Sangli</t>
  </si>
  <si>
    <t xml:space="preserve">Average </t>
  </si>
  <si>
    <t>Minimum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</si>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</sst>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vertAlign val="superscript"/>
      <sz val="11"/>
      <color theme="1"/>
      <name val="Calibri"/>
      <family val="2"/>
    </font>
    <font>
      <b/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22" fontId="0" fillId="0" borderId="3" xfId="0" applyNumberFormat="1" applyBorder="1" applyAlignment="1">
      <alignment horizontal="center"/>
    </xf>
    <xf numFmtId="0" fontId="0" fillId="0" borderId="1" xfId="0" applyBorder="1"/>
    <xf numFmtId="2" fontId="0" fillId="0" borderId="2" xfId="0" applyNumberFormat="1" applyBorder="1" applyAlignment="1">
      <alignment horizontal="center"/>
    </xf>
    <xf numFmtId="0" fontId="0" fillId="0" borderId="3" xfId="0" applyBorder="1"/>
    <xf numFmtId="2" fontId="0" fillId="0" borderId="4" xfId="0" applyNumberFormat="1" applyBorder="1" applyAlignment="1">
      <alignment horizontal="center"/>
    </xf>
    <xf numFmtId="0" fontId="0" fillId="0" borderId="5" xfId="0" applyBorder="1"/>
    <xf numFmtId="2" fontId="0" fillId="0" borderId="6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Border="1"/>
    <xf numFmtId="0" fontId="1" fillId="0" borderId="2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/>
    </xf>
    <xf numFmtId="14" fontId="0" fillId="0" borderId="3" xfId="0" applyNumberForma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17" fontId="1" fillId="0" borderId="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2" fontId="0" fillId="0" borderId="13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4" fontId="0" fillId="0" borderId="15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5" fillId="0" borderId="1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370"/>
  <sheetViews>
    <sheetView tabSelected="1" topLeftCell="A22" workbookViewId="0">
      <selection activeCell="P23" sqref="P23"/>
    </sheetView>
  </sheetViews>
  <sheetFormatPr defaultRowHeight="15" x14ac:dyDescent="0.25"/>
  <cols>
    <col min="1" max="1" width="11" customWidth="1"/>
    <col min="2" max="2" width="18.28515625" style="1" customWidth="1"/>
    <col min="3" max="3" width="11.28515625" style="1" customWidth="1"/>
    <col min="4" max="4" width="17.28515625" customWidth="1"/>
    <col min="5" max="5" width="10.28515625" customWidth="1"/>
    <col min="6" max="6" width="15.140625" customWidth="1"/>
    <col min="8" max="8" width="18" customWidth="1"/>
    <col min="10" max="10" width="16.140625" customWidth="1"/>
    <col min="11" max="11" width="10.7109375" customWidth="1"/>
    <col min="12" max="12" width="15.7109375" customWidth="1"/>
    <col min="14" max="14" width="15.85546875" customWidth="1"/>
    <col min="16" max="16" width="15.85546875" customWidth="1"/>
    <col min="17" max="17" width="10.42578125" customWidth="1"/>
    <col min="18" max="18" width="15.140625" customWidth="1"/>
    <col min="19" max="19" width="10" customWidth="1"/>
    <col min="20" max="20" width="16.140625" customWidth="1"/>
    <col min="22" max="22" width="16.85546875" customWidth="1"/>
    <col min="24" max="24" width="17.5703125" customWidth="1"/>
    <col min="25" max="25" width="12.5703125" customWidth="1"/>
  </cols>
  <sheetData>
    <row r="1" spans="2:25" ht="42.75" customHeight="1" thickBot="1" x14ac:dyDescent="0.3">
      <c r="B1" s="19" t="s">
        <v>17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</row>
    <row r="2" spans="2:25" ht="15.75" thickBot="1" x14ac:dyDescent="0.3">
      <c r="B2" s="17">
        <v>45292</v>
      </c>
      <c r="C2" s="18"/>
      <c r="D2" s="17">
        <v>45323</v>
      </c>
      <c r="E2" s="18"/>
      <c r="F2" s="17">
        <v>45352</v>
      </c>
      <c r="G2" s="18"/>
      <c r="H2" s="17">
        <v>45383</v>
      </c>
      <c r="I2" s="18"/>
      <c r="J2" s="17">
        <v>45413</v>
      </c>
      <c r="K2" s="18"/>
      <c r="L2" s="17">
        <v>45444</v>
      </c>
      <c r="M2" s="18"/>
      <c r="N2" s="17">
        <v>45474</v>
      </c>
      <c r="O2" s="18"/>
      <c r="P2" s="17">
        <v>45505</v>
      </c>
      <c r="Q2" s="18"/>
      <c r="R2" s="17">
        <v>45536</v>
      </c>
      <c r="S2" s="18"/>
      <c r="T2" s="17">
        <v>45566</v>
      </c>
      <c r="U2" s="18"/>
      <c r="V2" s="17">
        <v>45597</v>
      </c>
      <c r="W2" s="18"/>
      <c r="X2" s="17">
        <v>45627</v>
      </c>
      <c r="Y2" s="18"/>
    </row>
    <row r="3" spans="2:25" ht="41.25" customHeight="1" x14ac:dyDescent="0.25">
      <c r="B3" s="14" t="s">
        <v>1</v>
      </c>
      <c r="C3" s="13" t="s">
        <v>15</v>
      </c>
      <c r="D3" s="14" t="s">
        <v>1</v>
      </c>
      <c r="E3" s="13" t="s">
        <v>14</v>
      </c>
      <c r="F3" s="14" t="s">
        <v>1</v>
      </c>
      <c r="G3" s="13" t="s">
        <v>15</v>
      </c>
      <c r="H3" s="14" t="s">
        <v>1</v>
      </c>
      <c r="I3" s="13" t="s">
        <v>15</v>
      </c>
      <c r="J3" s="14" t="s">
        <v>1</v>
      </c>
      <c r="K3" s="13" t="s">
        <v>15</v>
      </c>
      <c r="L3" s="14" t="s">
        <v>1</v>
      </c>
      <c r="M3" s="13" t="s">
        <v>15</v>
      </c>
      <c r="N3" s="14" t="s">
        <v>1</v>
      </c>
      <c r="O3" s="13" t="s">
        <v>15</v>
      </c>
      <c r="P3" s="14" t="s">
        <v>1</v>
      </c>
      <c r="Q3" s="13" t="s">
        <v>15</v>
      </c>
      <c r="R3" s="14" t="s">
        <v>1</v>
      </c>
      <c r="S3" s="13" t="s">
        <v>15</v>
      </c>
      <c r="T3" s="14" t="s">
        <v>1</v>
      </c>
      <c r="U3" s="13" t="s">
        <v>15</v>
      </c>
      <c r="V3" s="14" t="s">
        <v>1</v>
      </c>
      <c r="W3" s="13" t="s">
        <v>15</v>
      </c>
      <c r="X3" s="14" t="s">
        <v>1</v>
      </c>
      <c r="Y3" s="13" t="s">
        <v>15</v>
      </c>
    </row>
    <row r="4" spans="2:25" x14ac:dyDescent="0.25">
      <c r="B4" s="4" t="s">
        <v>16</v>
      </c>
      <c r="C4" s="2">
        <v>85.68</v>
      </c>
      <c r="D4" s="16">
        <v>45323</v>
      </c>
      <c r="E4" s="3">
        <v>70.540000000000006</v>
      </c>
      <c r="F4" s="15">
        <v>45352</v>
      </c>
      <c r="G4" s="2">
        <v>55.55</v>
      </c>
      <c r="H4" s="15">
        <v>45383</v>
      </c>
      <c r="I4" s="2">
        <v>47.91</v>
      </c>
      <c r="J4" s="15">
        <v>45413</v>
      </c>
      <c r="K4" s="2">
        <v>31.94</v>
      </c>
      <c r="L4" s="15">
        <v>45444</v>
      </c>
      <c r="M4" s="2">
        <v>15.9</v>
      </c>
      <c r="N4" s="15">
        <v>45474</v>
      </c>
      <c r="O4" s="2">
        <v>9.09</v>
      </c>
      <c r="P4" s="15">
        <v>45505</v>
      </c>
      <c r="Q4" s="2">
        <v>5.84</v>
      </c>
      <c r="R4" s="15">
        <v>45536</v>
      </c>
      <c r="S4" s="2" t="s">
        <v>0</v>
      </c>
      <c r="T4" s="15">
        <v>45566</v>
      </c>
      <c r="U4" s="2">
        <v>10.28</v>
      </c>
      <c r="V4" s="15">
        <v>45597</v>
      </c>
      <c r="W4" s="2">
        <v>37.299999999999997</v>
      </c>
      <c r="X4" s="15">
        <v>45627</v>
      </c>
      <c r="Y4" s="2">
        <v>35.74</v>
      </c>
    </row>
    <row r="5" spans="2:25" x14ac:dyDescent="0.25">
      <c r="B5" s="15">
        <v>45293</v>
      </c>
      <c r="C5" s="2">
        <v>65.33</v>
      </c>
      <c r="D5" s="15">
        <v>45324</v>
      </c>
      <c r="E5" s="2">
        <v>81.25</v>
      </c>
      <c r="F5" s="15">
        <v>45353</v>
      </c>
      <c r="G5" s="2">
        <v>51.13</v>
      </c>
      <c r="H5" s="15">
        <v>45384</v>
      </c>
      <c r="I5" s="2">
        <v>45.12</v>
      </c>
      <c r="J5" s="15">
        <v>45414</v>
      </c>
      <c r="K5" s="2">
        <v>21.26</v>
      </c>
      <c r="L5" s="15">
        <v>45445</v>
      </c>
      <c r="M5" s="2">
        <v>15.83</v>
      </c>
      <c r="N5" s="15">
        <v>45475</v>
      </c>
      <c r="O5" s="2">
        <v>6.7</v>
      </c>
      <c r="P5" s="15">
        <v>45506</v>
      </c>
      <c r="Q5" s="2">
        <v>4.33</v>
      </c>
      <c r="R5" s="15">
        <v>45537</v>
      </c>
      <c r="S5" s="2">
        <v>9.67</v>
      </c>
      <c r="T5" s="15">
        <v>45567</v>
      </c>
      <c r="U5" s="2">
        <v>11.96</v>
      </c>
      <c r="V5" s="15">
        <v>45598</v>
      </c>
      <c r="W5" s="2">
        <v>35.909999999999997</v>
      </c>
      <c r="X5" s="15">
        <v>45628</v>
      </c>
      <c r="Y5" s="2">
        <v>29.06</v>
      </c>
    </row>
    <row r="6" spans="2:25" x14ac:dyDescent="0.25">
      <c r="B6" s="15">
        <v>45294</v>
      </c>
      <c r="C6" s="2">
        <v>73.08</v>
      </c>
      <c r="D6" s="15">
        <v>45325</v>
      </c>
      <c r="E6" s="2">
        <v>75.86</v>
      </c>
      <c r="F6" s="15">
        <v>45354</v>
      </c>
      <c r="G6" s="2">
        <v>35.67</v>
      </c>
      <c r="H6" s="15">
        <v>45385</v>
      </c>
      <c r="I6" s="2">
        <v>47.05</v>
      </c>
      <c r="J6" s="15">
        <v>45415</v>
      </c>
      <c r="K6" s="2">
        <v>25.92</v>
      </c>
      <c r="L6" s="15">
        <v>45446</v>
      </c>
      <c r="M6" s="2">
        <v>14.3</v>
      </c>
      <c r="N6" s="15">
        <v>45476</v>
      </c>
      <c r="O6" s="2">
        <v>6.18</v>
      </c>
      <c r="P6" s="15">
        <v>45507</v>
      </c>
      <c r="Q6" s="2">
        <v>5.87</v>
      </c>
      <c r="R6" s="15">
        <v>45538</v>
      </c>
      <c r="S6" s="2">
        <v>8.35</v>
      </c>
      <c r="T6" s="15">
        <v>45568</v>
      </c>
      <c r="U6" s="2">
        <v>18.13</v>
      </c>
      <c r="V6" s="15">
        <v>45599</v>
      </c>
      <c r="W6" s="2">
        <v>35.18</v>
      </c>
      <c r="X6" s="15">
        <v>45629</v>
      </c>
      <c r="Y6" s="2">
        <v>20.48</v>
      </c>
    </row>
    <row r="7" spans="2:25" x14ac:dyDescent="0.25">
      <c r="B7" s="15">
        <v>45295</v>
      </c>
      <c r="C7" s="2">
        <v>77.56</v>
      </c>
      <c r="D7" s="15">
        <v>45326</v>
      </c>
      <c r="E7" s="2">
        <v>84.6</v>
      </c>
      <c r="F7" s="15">
        <v>45355</v>
      </c>
      <c r="G7" s="2">
        <v>44.55</v>
      </c>
      <c r="H7" s="15">
        <v>45386</v>
      </c>
      <c r="I7" s="2">
        <v>40.75</v>
      </c>
      <c r="J7" s="15">
        <v>45416</v>
      </c>
      <c r="K7" s="2">
        <v>29.64</v>
      </c>
      <c r="L7" s="15">
        <v>45447</v>
      </c>
      <c r="M7" s="2">
        <v>12.32</v>
      </c>
      <c r="N7" s="15">
        <v>45477</v>
      </c>
      <c r="O7" s="2">
        <v>9.25</v>
      </c>
      <c r="P7" s="15">
        <v>45508</v>
      </c>
      <c r="Q7" s="2">
        <v>5.32</v>
      </c>
      <c r="R7" s="15">
        <v>45539</v>
      </c>
      <c r="S7" s="2">
        <v>7.69</v>
      </c>
      <c r="T7" s="15">
        <v>45569</v>
      </c>
      <c r="U7" s="2">
        <v>11.74</v>
      </c>
      <c r="V7" s="15">
        <v>45600</v>
      </c>
      <c r="W7" s="2">
        <v>37.450000000000003</v>
      </c>
      <c r="X7" s="15">
        <v>45630</v>
      </c>
      <c r="Y7" s="2">
        <v>17.649999999999999</v>
      </c>
    </row>
    <row r="8" spans="2:25" x14ac:dyDescent="0.25">
      <c r="B8" s="15">
        <v>45296</v>
      </c>
      <c r="C8" s="2">
        <v>75.22</v>
      </c>
      <c r="D8" s="15">
        <v>45327</v>
      </c>
      <c r="E8" s="2">
        <v>87.64</v>
      </c>
      <c r="F8" s="15">
        <v>45356</v>
      </c>
      <c r="G8" s="2">
        <v>68.739999999999995</v>
      </c>
      <c r="H8" s="15">
        <v>45387</v>
      </c>
      <c r="I8" s="2">
        <v>42.93</v>
      </c>
      <c r="J8" s="15">
        <v>45417</v>
      </c>
      <c r="K8" s="2">
        <v>30.3</v>
      </c>
      <c r="L8" s="15">
        <v>45448</v>
      </c>
      <c r="M8" s="2">
        <v>12.95</v>
      </c>
      <c r="N8" s="15">
        <v>45478</v>
      </c>
      <c r="O8" s="2">
        <v>11.39</v>
      </c>
      <c r="P8" s="15">
        <v>45509</v>
      </c>
      <c r="Q8" s="2">
        <v>6.91</v>
      </c>
      <c r="R8" s="15">
        <v>45540</v>
      </c>
      <c r="S8" s="2">
        <v>8.83</v>
      </c>
      <c r="T8" s="15">
        <v>45570</v>
      </c>
      <c r="U8" s="2">
        <v>9.8800000000000008</v>
      </c>
      <c r="V8" s="15">
        <v>45601</v>
      </c>
      <c r="W8" s="2">
        <v>41.95</v>
      </c>
      <c r="X8" s="15">
        <v>45631</v>
      </c>
      <c r="Y8" s="2">
        <v>29.56</v>
      </c>
    </row>
    <row r="9" spans="2:25" x14ac:dyDescent="0.25">
      <c r="B9" s="15">
        <v>45297</v>
      </c>
      <c r="C9" s="2">
        <v>57.12</v>
      </c>
      <c r="D9" s="15">
        <v>45328</v>
      </c>
      <c r="E9" s="2">
        <v>97.9</v>
      </c>
      <c r="F9" s="15">
        <v>45357</v>
      </c>
      <c r="G9" s="2">
        <v>53.19</v>
      </c>
      <c r="H9" s="15">
        <v>45388</v>
      </c>
      <c r="I9" s="2">
        <v>44.07</v>
      </c>
      <c r="J9" s="15">
        <v>45418</v>
      </c>
      <c r="K9" s="2">
        <v>23.39</v>
      </c>
      <c r="L9" s="15">
        <v>45449</v>
      </c>
      <c r="M9" s="2">
        <v>14.28</v>
      </c>
      <c r="N9" s="15">
        <v>45479</v>
      </c>
      <c r="O9" s="2">
        <v>10.26</v>
      </c>
      <c r="P9" s="15">
        <v>45510</v>
      </c>
      <c r="Q9" s="2">
        <v>6.93</v>
      </c>
      <c r="R9" s="15">
        <v>45541</v>
      </c>
      <c r="S9" s="2">
        <v>8.17</v>
      </c>
      <c r="T9" s="15">
        <v>45571</v>
      </c>
      <c r="U9" s="2">
        <v>15.27</v>
      </c>
      <c r="V9" s="15">
        <v>45602</v>
      </c>
      <c r="W9" s="2">
        <v>44.58</v>
      </c>
      <c r="X9" s="15">
        <v>45632</v>
      </c>
      <c r="Y9" s="2">
        <v>32.21</v>
      </c>
    </row>
    <row r="10" spans="2:25" x14ac:dyDescent="0.25">
      <c r="B10" s="15">
        <v>45298</v>
      </c>
      <c r="C10" s="2">
        <v>32.19</v>
      </c>
      <c r="D10" s="15">
        <v>45329</v>
      </c>
      <c r="E10" s="2">
        <v>78.17</v>
      </c>
      <c r="F10" s="15">
        <v>45358</v>
      </c>
      <c r="G10" s="2">
        <v>56.74</v>
      </c>
      <c r="H10" s="15">
        <v>45389</v>
      </c>
      <c r="I10" s="2">
        <v>47.07</v>
      </c>
      <c r="J10" s="15">
        <v>45419</v>
      </c>
      <c r="K10" s="2">
        <v>21.15</v>
      </c>
      <c r="L10" s="15">
        <v>45450</v>
      </c>
      <c r="M10" s="2">
        <v>8.7200000000000006</v>
      </c>
      <c r="N10" s="15">
        <v>45480</v>
      </c>
      <c r="O10" s="2">
        <v>13.34</v>
      </c>
      <c r="P10" s="15">
        <v>45511</v>
      </c>
      <c r="Q10" s="2">
        <v>5.45</v>
      </c>
      <c r="R10" s="15">
        <v>45542</v>
      </c>
      <c r="S10" s="2">
        <v>6.46</v>
      </c>
      <c r="T10" s="15">
        <v>45572</v>
      </c>
      <c r="U10" s="2">
        <v>27.94</v>
      </c>
      <c r="V10" s="15">
        <v>45603</v>
      </c>
      <c r="W10" s="2">
        <v>47.85</v>
      </c>
      <c r="X10" s="15">
        <v>45633</v>
      </c>
      <c r="Y10" s="2">
        <v>28.7</v>
      </c>
    </row>
    <row r="11" spans="2:25" x14ac:dyDescent="0.25">
      <c r="B11" s="15">
        <v>45299</v>
      </c>
      <c r="C11" s="2">
        <v>35.5</v>
      </c>
      <c r="D11" s="15">
        <v>45330</v>
      </c>
      <c r="E11" s="2">
        <v>75.599999999999994</v>
      </c>
      <c r="F11" s="15">
        <v>45359</v>
      </c>
      <c r="G11" s="2">
        <v>72.23</v>
      </c>
      <c r="H11" s="15">
        <v>45390</v>
      </c>
      <c r="I11" s="2">
        <v>39.020000000000003</v>
      </c>
      <c r="J11" s="15">
        <v>45420</v>
      </c>
      <c r="K11" s="2">
        <v>16.96</v>
      </c>
      <c r="L11" s="15">
        <v>45451</v>
      </c>
      <c r="M11" s="2">
        <v>14.22</v>
      </c>
      <c r="N11" s="15">
        <v>45481</v>
      </c>
      <c r="O11" s="2">
        <v>13.32</v>
      </c>
      <c r="P11" s="15">
        <v>45512</v>
      </c>
      <c r="Q11" s="2">
        <v>7.3</v>
      </c>
      <c r="R11" s="15">
        <v>45543</v>
      </c>
      <c r="S11" s="2">
        <v>6.72</v>
      </c>
      <c r="T11" s="15">
        <v>45573</v>
      </c>
      <c r="U11" s="2">
        <v>24.56</v>
      </c>
      <c r="V11" s="15">
        <v>45604</v>
      </c>
      <c r="W11" s="2">
        <v>41.47</v>
      </c>
      <c r="X11" s="15">
        <v>45634</v>
      </c>
      <c r="Y11" s="2">
        <v>31.26</v>
      </c>
    </row>
    <row r="12" spans="2:25" x14ac:dyDescent="0.25">
      <c r="B12" s="15">
        <v>45300</v>
      </c>
      <c r="C12" s="2">
        <v>43.4</v>
      </c>
      <c r="D12" s="15">
        <v>45331</v>
      </c>
      <c r="E12" s="2">
        <v>77.52</v>
      </c>
      <c r="F12" s="15">
        <v>45360</v>
      </c>
      <c r="G12" s="2">
        <v>45.69</v>
      </c>
      <c r="H12" s="15">
        <v>45391</v>
      </c>
      <c r="I12" s="2">
        <v>50.13</v>
      </c>
      <c r="J12" s="15">
        <v>45421</v>
      </c>
      <c r="K12" s="2">
        <v>21.13</v>
      </c>
      <c r="L12" s="15">
        <v>45452</v>
      </c>
      <c r="M12" s="2">
        <v>10.9</v>
      </c>
      <c r="N12" s="15">
        <v>45482</v>
      </c>
      <c r="O12" s="2">
        <v>12.67</v>
      </c>
      <c r="P12" s="15">
        <v>45513</v>
      </c>
      <c r="Q12" s="2">
        <v>9.65</v>
      </c>
      <c r="R12" s="15">
        <v>45544</v>
      </c>
      <c r="S12" s="2">
        <v>4.46</v>
      </c>
      <c r="T12" s="15">
        <v>45574</v>
      </c>
      <c r="U12" s="2">
        <v>18.059999999999999</v>
      </c>
      <c r="V12" s="15">
        <v>45605</v>
      </c>
      <c r="W12" s="2">
        <v>42.24</v>
      </c>
      <c r="X12" s="15">
        <v>45635</v>
      </c>
      <c r="Y12" s="2">
        <v>27.98</v>
      </c>
    </row>
    <row r="13" spans="2:25" x14ac:dyDescent="0.25">
      <c r="B13" s="15">
        <v>45301</v>
      </c>
      <c r="C13" s="2">
        <v>57.58</v>
      </c>
      <c r="D13" s="15">
        <v>45332</v>
      </c>
      <c r="E13" s="2">
        <v>77.89</v>
      </c>
      <c r="F13" s="15">
        <v>45361</v>
      </c>
      <c r="G13" s="2">
        <v>60.5</v>
      </c>
      <c r="H13" s="15">
        <v>45392</v>
      </c>
      <c r="I13" s="2">
        <v>42.78</v>
      </c>
      <c r="J13" s="15">
        <v>45422</v>
      </c>
      <c r="K13" s="2">
        <v>23.3</v>
      </c>
      <c r="L13" s="15">
        <v>45453</v>
      </c>
      <c r="M13" s="2">
        <v>11.48</v>
      </c>
      <c r="N13" s="15">
        <v>45483</v>
      </c>
      <c r="O13" s="2">
        <v>11.97</v>
      </c>
      <c r="P13" s="15">
        <v>45514</v>
      </c>
      <c r="Q13" s="2">
        <v>8.0500000000000007</v>
      </c>
      <c r="R13" s="15">
        <v>45545</v>
      </c>
      <c r="S13" s="2">
        <v>5.32</v>
      </c>
      <c r="T13" s="15">
        <v>45575</v>
      </c>
      <c r="U13" s="2">
        <v>16.989999999999998</v>
      </c>
      <c r="V13" s="15">
        <v>45606</v>
      </c>
      <c r="W13" s="2">
        <v>38.22</v>
      </c>
      <c r="X13" s="15">
        <v>45636</v>
      </c>
      <c r="Y13" s="2">
        <v>38.07</v>
      </c>
    </row>
    <row r="14" spans="2:25" x14ac:dyDescent="0.25">
      <c r="B14" s="15">
        <v>45302</v>
      </c>
      <c r="C14" s="2">
        <v>50.67</v>
      </c>
      <c r="D14" s="15">
        <v>45333</v>
      </c>
      <c r="E14" s="2">
        <v>101.22</v>
      </c>
      <c r="F14" s="15">
        <v>45362</v>
      </c>
      <c r="G14" s="2">
        <v>63.51</v>
      </c>
      <c r="H14" s="15">
        <v>45393</v>
      </c>
      <c r="I14" s="2">
        <v>37.51</v>
      </c>
      <c r="J14" s="15">
        <v>45423</v>
      </c>
      <c r="K14" s="2">
        <v>23.97</v>
      </c>
      <c r="L14" s="15">
        <v>45454</v>
      </c>
      <c r="M14" s="2">
        <v>12.04</v>
      </c>
      <c r="N14" s="15">
        <v>45484</v>
      </c>
      <c r="O14" s="2">
        <v>9.34</v>
      </c>
      <c r="P14" s="15">
        <v>45515</v>
      </c>
      <c r="Q14" s="2">
        <v>8.4</v>
      </c>
      <c r="R14" s="15">
        <v>45546</v>
      </c>
      <c r="S14" s="2">
        <v>7.49</v>
      </c>
      <c r="T14" s="15">
        <v>45576</v>
      </c>
      <c r="U14" s="2">
        <v>10.39</v>
      </c>
      <c r="V14" s="15">
        <v>45607</v>
      </c>
      <c r="W14" s="2">
        <v>46.84</v>
      </c>
      <c r="X14" s="15">
        <v>45637</v>
      </c>
      <c r="Y14" s="2">
        <v>33.450000000000003</v>
      </c>
    </row>
    <row r="15" spans="2:25" x14ac:dyDescent="0.25">
      <c r="B15" s="15">
        <v>45303</v>
      </c>
      <c r="C15" s="2">
        <v>50.14</v>
      </c>
      <c r="D15" s="15">
        <v>45334</v>
      </c>
      <c r="E15" s="2">
        <v>98.53</v>
      </c>
      <c r="F15" s="15">
        <v>45363</v>
      </c>
      <c r="G15" s="2">
        <v>71.069999999999993</v>
      </c>
      <c r="H15" s="15">
        <v>45394</v>
      </c>
      <c r="I15" s="2">
        <v>36.840000000000003</v>
      </c>
      <c r="J15" s="15">
        <v>45424</v>
      </c>
      <c r="K15" s="2">
        <v>20.18</v>
      </c>
      <c r="L15" s="15">
        <v>45455</v>
      </c>
      <c r="M15" s="2">
        <v>11.11</v>
      </c>
      <c r="N15" s="15">
        <v>45485</v>
      </c>
      <c r="O15" s="2">
        <v>12.43</v>
      </c>
      <c r="P15" s="15">
        <v>45516</v>
      </c>
      <c r="Q15" s="2">
        <v>7.72</v>
      </c>
      <c r="R15" s="15">
        <v>45547</v>
      </c>
      <c r="S15" s="2">
        <v>5.09</v>
      </c>
      <c r="T15" s="15">
        <v>45577</v>
      </c>
      <c r="U15" s="2">
        <v>10.35</v>
      </c>
      <c r="V15" s="15">
        <v>45608</v>
      </c>
      <c r="W15" s="2">
        <v>46.1</v>
      </c>
      <c r="X15" s="15">
        <v>45638</v>
      </c>
      <c r="Y15" s="2">
        <v>24.67</v>
      </c>
    </row>
    <row r="16" spans="2:25" x14ac:dyDescent="0.25">
      <c r="B16" s="15">
        <v>45304</v>
      </c>
      <c r="C16" s="2">
        <v>70.069999999999993</v>
      </c>
      <c r="D16" s="15">
        <v>45335</v>
      </c>
      <c r="E16" s="2">
        <v>94.8</v>
      </c>
      <c r="F16" s="15">
        <v>45364</v>
      </c>
      <c r="G16" s="2">
        <v>54.16</v>
      </c>
      <c r="H16" s="15">
        <v>45395</v>
      </c>
      <c r="I16" s="2">
        <v>32.68</v>
      </c>
      <c r="J16" s="15">
        <v>45425</v>
      </c>
      <c r="K16" s="2">
        <v>21.63</v>
      </c>
      <c r="L16" s="15">
        <v>45456</v>
      </c>
      <c r="M16" s="2">
        <v>6.83</v>
      </c>
      <c r="N16" s="15">
        <v>45486</v>
      </c>
      <c r="O16" s="2">
        <v>8.6999999999999993</v>
      </c>
      <c r="P16" s="15">
        <v>45517</v>
      </c>
      <c r="Q16" s="2">
        <v>13.67</v>
      </c>
      <c r="R16" s="15">
        <v>45548</v>
      </c>
      <c r="S16" s="2">
        <v>10.38</v>
      </c>
      <c r="T16" s="15">
        <v>45578</v>
      </c>
      <c r="U16" s="2" t="s">
        <v>0</v>
      </c>
      <c r="V16" s="15">
        <v>45609</v>
      </c>
      <c r="W16" s="2">
        <v>40.409999999999997</v>
      </c>
      <c r="X16" s="15">
        <v>45639</v>
      </c>
      <c r="Y16" s="2">
        <v>25.41</v>
      </c>
    </row>
    <row r="17" spans="2:25" x14ac:dyDescent="0.25">
      <c r="B17" s="15">
        <v>45305</v>
      </c>
      <c r="C17" s="2">
        <v>75.42</v>
      </c>
      <c r="D17" s="15">
        <v>45336</v>
      </c>
      <c r="E17" s="2">
        <v>73.63</v>
      </c>
      <c r="F17" s="15">
        <v>45365</v>
      </c>
      <c r="G17" s="2">
        <v>43.01</v>
      </c>
      <c r="H17" s="15">
        <v>45396</v>
      </c>
      <c r="I17" s="2">
        <v>29.96</v>
      </c>
      <c r="J17" s="15">
        <v>45426</v>
      </c>
      <c r="K17" s="2">
        <v>21.31</v>
      </c>
      <c r="L17" s="15">
        <v>45457</v>
      </c>
      <c r="M17" s="2">
        <v>9.33</v>
      </c>
      <c r="N17" s="15">
        <v>45487</v>
      </c>
      <c r="O17" s="2">
        <v>5.78</v>
      </c>
      <c r="P17" s="15">
        <v>45518</v>
      </c>
      <c r="Q17" s="2">
        <v>13.6</v>
      </c>
      <c r="R17" s="15">
        <v>45549</v>
      </c>
      <c r="S17" s="2">
        <v>8.06</v>
      </c>
      <c r="T17" s="15">
        <v>45579</v>
      </c>
      <c r="U17" s="2" t="s">
        <v>0</v>
      </c>
      <c r="V17" s="15">
        <v>45610</v>
      </c>
      <c r="W17" s="2">
        <v>31.85</v>
      </c>
      <c r="X17" s="15">
        <v>45640</v>
      </c>
      <c r="Y17" s="2">
        <v>32.57</v>
      </c>
    </row>
    <row r="18" spans="2:25" x14ac:dyDescent="0.25">
      <c r="B18" s="15">
        <v>45306</v>
      </c>
      <c r="C18" s="2">
        <v>59.9</v>
      </c>
      <c r="D18" s="15">
        <v>45337</v>
      </c>
      <c r="E18" s="2">
        <v>87.62</v>
      </c>
      <c r="F18" s="15">
        <v>45366</v>
      </c>
      <c r="G18" s="2">
        <v>54.93</v>
      </c>
      <c r="H18" s="15">
        <v>45397</v>
      </c>
      <c r="I18" s="2">
        <v>36.65</v>
      </c>
      <c r="J18" s="15">
        <v>45427</v>
      </c>
      <c r="K18" s="2">
        <v>19.78</v>
      </c>
      <c r="L18" s="15">
        <v>45458</v>
      </c>
      <c r="M18" s="2">
        <v>11.04</v>
      </c>
      <c r="N18" s="15">
        <v>45488</v>
      </c>
      <c r="O18" s="2">
        <v>5.34</v>
      </c>
      <c r="P18" s="15">
        <v>45519</v>
      </c>
      <c r="Q18" s="2">
        <v>14.56</v>
      </c>
      <c r="R18" s="15">
        <v>45550</v>
      </c>
      <c r="S18" s="2">
        <v>7.4</v>
      </c>
      <c r="T18" s="15">
        <v>45580</v>
      </c>
      <c r="U18" s="2">
        <v>3.34</v>
      </c>
      <c r="V18" s="15">
        <v>45611</v>
      </c>
      <c r="W18" s="2">
        <v>22.48</v>
      </c>
      <c r="X18" s="15">
        <v>45641</v>
      </c>
      <c r="Y18" s="2">
        <v>37.68</v>
      </c>
    </row>
    <row r="19" spans="2:25" x14ac:dyDescent="0.25">
      <c r="B19" s="15">
        <v>45307</v>
      </c>
      <c r="C19" s="2">
        <v>61.02</v>
      </c>
      <c r="D19" s="15">
        <v>45338</v>
      </c>
      <c r="E19" s="2">
        <v>64.25</v>
      </c>
      <c r="F19" s="15">
        <v>45367</v>
      </c>
      <c r="G19" s="2">
        <v>58.61</v>
      </c>
      <c r="H19" s="15">
        <v>45398</v>
      </c>
      <c r="I19" s="2">
        <v>38.11</v>
      </c>
      <c r="J19" s="15">
        <v>45428</v>
      </c>
      <c r="K19" s="2">
        <v>29.55</v>
      </c>
      <c r="L19" s="15">
        <v>45459</v>
      </c>
      <c r="M19" s="2">
        <v>12.68</v>
      </c>
      <c r="N19" s="15">
        <v>45489</v>
      </c>
      <c r="O19" s="2">
        <v>5.74</v>
      </c>
      <c r="P19" s="15">
        <v>45520</v>
      </c>
      <c r="Q19" s="2">
        <v>17.34</v>
      </c>
      <c r="R19" s="15">
        <v>45551</v>
      </c>
      <c r="S19" s="2">
        <v>9.65</v>
      </c>
      <c r="T19" s="15">
        <v>45581</v>
      </c>
      <c r="U19" s="2">
        <v>11.58</v>
      </c>
      <c r="V19" s="15">
        <v>45612</v>
      </c>
      <c r="W19" s="2">
        <v>32.76</v>
      </c>
      <c r="X19" s="15">
        <v>45642</v>
      </c>
      <c r="Y19" s="2">
        <v>37.86</v>
      </c>
    </row>
    <row r="20" spans="2:25" x14ac:dyDescent="0.25">
      <c r="B20" s="15">
        <v>45308</v>
      </c>
      <c r="C20" s="2">
        <v>65.45</v>
      </c>
      <c r="D20" s="15">
        <v>45339</v>
      </c>
      <c r="E20" s="2">
        <v>63.71</v>
      </c>
      <c r="F20" s="15">
        <v>45368</v>
      </c>
      <c r="G20" s="2">
        <v>56.59</v>
      </c>
      <c r="H20" s="15">
        <v>45399</v>
      </c>
      <c r="I20" s="2">
        <v>36.869999999999997</v>
      </c>
      <c r="J20" s="15">
        <v>45429</v>
      </c>
      <c r="K20" s="2">
        <v>26.89</v>
      </c>
      <c r="L20" s="15">
        <v>45460</v>
      </c>
      <c r="M20" s="2">
        <v>11.63</v>
      </c>
      <c r="N20" s="15">
        <v>45490</v>
      </c>
      <c r="O20" s="2">
        <v>6.29</v>
      </c>
      <c r="P20" s="15">
        <v>45521</v>
      </c>
      <c r="Q20" s="2">
        <v>14.53</v>
      </c>
      <c r="R20" s="15">
        <v>45552</v>
      </c>
      <c r="S20" s="2">
        <v>10.37</v>
      </c>
      <c r="T20" s="15">
        <v>45582</v>
      </c>
      <c r="U20" s="2">
        <v>12.96</v>
      </c>
      <c r="V20" s="15">
        <v>45613</v>
      </c>
      <c r="W20" s="2">
        <v>43.72</v>
      </c>
      <c r="X20" s="15">
        <v>45643</v>
      </c>
      <c r="Y20" s="2">
        <v>38.65</v>
      </c>
    </row>
    <row r="21" spans="2:25" x14ac:dyDescent="0.25">
      <c r="B21" s="15">
        <v>45309</v>
      </c>
      <c r="C21" s="2">
        <v>84.86</v>
      </c>
      <c r="D21" s="15">
        <v>45340</v>
      </c>
      <c r="E21" s="2">
        <v>70.67</v>
      </c>
      <c r="F21" s="15">
        <v>45369</v>
      </c>
      <c r="G21" s="2">
        <v>59.14</v>
      </c>
      <c r="H21" s="15">
        <v>45400</v>
      </c>
      <c r="I21" s="2">
        <v>38.06</v>
      </c>
      <c r="J21" s="15">
        <v>45430</v>
      </c>
      <c r="K21" s="2">
        <v>29.66</v>
      </c>
      <c r="L21" s="15">
        <v>45461</v>
      </c>
      <c r="M21" s="2">
        <v>16.36</v>
      </c>
      <c r="N21" s="15">
        <v>45491</v>
      </c>
      <c r="O21" s="2" t="s">
        <v>0</v>
      </c>
      <c r="P21" s="15">
        <v>45522</v>
      </c>
      <c r="Q21" s="2">
        <v>13.47</v>
      </c>
      <c r="R21" s="15">
        <v>45553</v>
      </c>
      <c r="S21" s="2">
        <v>9.91</v>
      </c>
      <c r="T21" s="15">
        <v>45583</v>
      </c>
      <c r="U21" s="2">
        <v>11.13</v>
      </c>
      <c r="V21" s="15">
        <v>45614</v>
      </c>
      <c r="W21" s="2">
        <v>43.42</v>
      </c>
      <c r="X21" s="15">
        <v>45644</v>
      </c>
      <c r="Y21" s="2">
        <v>48.34</v>
      </c>
    </row>
    <row r="22" spans="2:25" x14ac:dyDescent="0.25">
      <c r="B22" s="15">
        <v>45310</v>
      </c>
      <c r="C22" s="2">
        <v>77.22</v>
      </c>
      <c r="D22" s="15">
        <v>45341</v>
      </c>
      <c r="E22" s="2">
        <v>77.77</v>
      </c>
      <c r="F22" s="15">
        <v>45370</v>
      </c>
      <c r="G22" s="2">
        <v>49.48</v>
      </c>
      <c r="H22" s="15">
        <v>45401</v>
      </c>
      <c r="I22" s="2">
        <v>28.15</v>
      </c>
      <c r="J22" s="15">
        <v>45431</v>
      </c>
      <c r="K22" s="2">
        <v>29.95</v>
      </c>
      <c r="L22" s="15">
        <v>45462</v>
      </c>
      <c r="M22" s="2">
        <v>15.63</v>
      </c>
      <c r="N22" s="15">
        <v>45492</v>
      </c>
      <c r="O22" s="2" t="s">
        <v>0</v>
      </c>
      <c r="P22" s="15">
        <v>45523</v>
      </c>
      <c r="Q22" s="2">
        <v>7.79</v>
      </c>
      <c r="R22" s="15">
        <v>45554</v>
      </c>
      <c r="S22" s="2">
        <v>13.27</v>
      </c>
      <c r="T22" s="15">
        <v>45584</v>
      </c>
      <c r="U22" s="2">
        <v>31.5</v>
      </c>
      <c r="V22" s="15">
        <v>45615</v>
      </c>
      <c r="W22" s="2">
        <v>45.64</v>
      </c>
      <c r="X22" s="15">
        <v>45645</v>
      </c>
      <c r="Y22" s="2">
        <v>42.4</v>
      </c>
    </row>
    <row r="23" spans="2:25" x14ac:dyDescent="0.25">
      <c r="B23" s="15">
        <v>45311</v>
      </c>
      <c r="C23" s="2">
        <v>66.849999999999994</v>
      </c>
      <c r="D23" s="15">
        <v>45342</v>
      </c>
      <c r="E23" s="2">
        <v>62.25</v>
      </c>
      <c r="F23" s="15">
        <v>45371</v>
      </c>
      <c r="G23" s="2">
        <v>62.91</v>
      </c>
      <c r="H23" s="15">
        <v>45402</v>
      </c>
      <c r="I23" s="2">
        <v>37.93</v>
      </c>
      <c r="J23" s="15">
        <v>45432</v>
      </c>
      <c r="K23" s="2">
        <v>22.43</v>
      </c>
      <c r="L23" s="15">
        <v>45463</v>
      </c>
      <c r="M23" s="2">
        <v>12.91</v>
      </c>
      <c r="N23" s="15">
        <v>45493</v>
      </c>
      <c r="O23" s="2" t="s">
        <v>0</v>
      </c>
      <c r="P23" s="15">
        <v>45524</v>
      </c>
      <c r="Q23" s="2">
        <v>9.48</v>
      </c>
      <c r="R23" s="15">
        <v>45555</v>
      </c>
      <c r="S23" s="2">
        <v>11.33</v>
      </c>
      <c r="T23" s="15">
        <v>45585</v>
      </c>
      <c r="U23" s="2" t="s">
        <v>0</v>
      </c>
      <c r="V23" s="15">
        <v>45616</v>
      </c>
      <c r="W23" s="2">
        <v>53.37</v>
      </c>
      <c r="X23" s="15">
        <v>45646</v>
      </c>
      <c r="Y23" s="2">
        <v>41.73</v>
      </c>
    </row>
    <row r="24" spans="2:25" x14ac:dyDescent="0.25">
      <c r="B24" s="15">
        <v>45312</v>
      </c>
      <c r="C24" s="2">
        <v>78.930000000000007</v>
      </c>
      <c r="D24" s="15">
        <v>45343</v>
      </c>
      <c r="E24" s="2">
        <v>55.51</v>
      </c>
      <c r="F24" s="15">
        <v>45372</v>
      </c>
      <c r="G24" s="2">
        <v>54.51</v>
      </c>
      <c r="H24" s="15">
        <v>45403</v>
      </c>
      <c r="I24" s="2">
        <v>35.14</v>
      </c>
      <c r="J24" s="15">
        <v>45433</v>
      </c>
      <c r="K24" s="2">
        <v>20.13</v>
      </c>
      <c r="L24" s="15">
        <v>45464</v>
      </c>
      <c r="M24" s="2">
        <v>10.039999999999999</v>
      </c>
      <c r="N24" s="15">
        <v>45494</v>
      </c>
      <c r="O24" s="2">
        <v>2.17</v>
      </c>
      <c r="P24" s="15">
        <v>45525</v>
      </c>
      <c r="Q24" s="2">
        <v>13.62</v>
      </c>
      <c r="R24" s="15">
        <v>45556</v>
      </c>
      <c r="S24" s="2">
        <v>12.75</v>
      </c>
      <c r="T24" s="15">
        <v>45586</v>
      </c>
      <c r="U24" s="2">
        <v>14.63</v>
      </c>
      <c r="V24" s="15">
        <v>45617</v>
      </c>
      <c r="W24" s="2">
        <v>50.93</v>
      </c>
      <c r="X24" s="15">
        <v>45647</v>
      </c>
      <c r="Y24" s="2">
        <v>22.94</v>
      </c>
    </row>
    <row r="25" spans="2:25" x14ac:dyDescent="0.25">
      <c r="B25" s="15">
        <v>45313</v>
      </c>
      <c r="C25" s="2">
        <v>82.55</v>
      </c>
      <c r="D25" s="15">
        <v>45344</v>
      </c>
      <c r="E25" s="2">
        <v>67.92</v>
      </c>
      <c r="F25" s="15">
        <v>45373</v>
      </c>
      <c r="G25" s="2">
        <v>49.98</v>
      </c>
      <c r="H25" s="15">
        <v>45404</v>
      </c>
      <c r="I25" s="2">
        <v>36.19</v>
      </c>
      <c r="J25" s="15">
        <v>45434</v>
      </c>
      <c r="K25" s="2">
        <v>21.59</v>
      </c>
      <c r="L25" s="15">
        <v>45465</v>
      </c>
      <c r="M25" s="2">
        <v>13.17</v>
      </c>
      <c r="N25" s="15">
        <v>45495</v>
      </c>
      <c r="O25" s="2">
        <v>3.79</v>
      </c>
      <c r="P25" s="15">
        <v>45526</v>
      </c>
      <c r="Q25" s="2">
        <v>8.2100000000000009</v>
      </c>
      <c r="R25" s="15">
        <v>45557</v>
      </c>
      <c r="S25" s="2">
        <v>13.21</v>
      </c>
      <c r="T25" s="15">
        <v>45587</v>
      </c>
      <c r="U25" s="2">
        <v>10.97</v>
      </c>
      <c r="V25" s="15">
        <v>45618</v>
      </c>
      <c r="W25" s="2">
        <v>40.49</v>
      </c>
      <c r="X25" s="15">
        <v>45648</v>
      </c>
      <c r="Y25" s="2">
        <v>16.05</v>
      </c>
    </row>
    <row r="26" spans="2:25" x14ac:dyDescent="0.25">
      <c r="B26" s="15">
        <v>45314</v>
      </c>
      <c r="C26" s="2">
        <v>67.8</v>
      </c>
      <c r="D26" s="15">
        <v>45345</v>
      </c>
      <c r="E26" s="2">
        <v>52.61</v>
      </c>
      <c r="F26" s="15">
        <v>45374</v>
      </c>
      <c r="G26" s="2">
        <v>46.22</v>
      </c>
      <c r="H26" s="15">
        <v>45405</v>
      </c>
      <c r="I26" s="2">
        <v>31.39</v>
      </c>
      <c r="J26" s="15">
        <v>45435</v>
      </c>
      <c r="K26" s="2">
        <v>26.24</v>
      </c>
      <c r="L26" s="15">
        <v>45466</v>
      </c>
      <c r="M26" s="2">
        <v>14.22</v>
      </c>
      <c r="N26" s="15">
        <v>45496</v>
      </c>
      <c r="O26" s="2">
        <v>3.44</v>
      </c>
      <c r="P26" s="15">
        <v>45527</v>
      </c>
      <c r="Q26" s="2">
        <v>6.43</v>
      </c>
      <c r="R26" s="15">
        <v>45558</v>
      </c>
      <c r="S26" s="2">
        <v>14.22</v>
      </c>
      <c r="T26" s="15">
        <v>45588</v>
      </c>
      <c r="U26" s="2">
        <v>16.940000000000001</v>
      </c>
      <c r="V26" s="15">
        <v>45619</v>
      </c>
      <c r="W26" s="2">
        <v>36.700000000000003</v>
      </c>
      <c r="X26" s="15">
        <v>45649</v>
      </c>
      <c r="Y26" s="2">
        <v>20.71</v>
      </c>
    </row>
    <row r="27" spans="2:25" x14ac:dyDescent="0.25">
      <c r="B27" s="15">
        <v>45315</v>
      </c>
      <c r="C27" s="2">
        <v>78.33</v>
      </c>
      <c r="D27" s="15">
        <v>45346</v>
      </c>
      <c r="E27" s="2">
        <v>58.82</v>
      </c>
      <c r="F27" s="15">
        <v>45375</v>
      </c>
      <c r="G27" s="2">
        <v>50.27</v>
      </c>
      <c r="H27" s="15">
        <v>45406</v>
      </c>
      <c r="I27" s="2">
        <v>34.76</v>
      </c>
      <c r="J27" s="15">
        <v>45436</v>
      </c>
      <c r="K27" s="2">
        <v>20.75</v>
      </c>
      <c r="L27" s="15">
        <v>45467</v>
      </c>
      <c r="M27" s="2">
        <v>8.49</v>
      </c>
      <c r="N27" s="15">
        <v>45497</v>
      </c>
      <c r="O27" s="2">
        <v>5.49</v>
      </c>
      <c r="P27" s="15">
        <v>45528</v>
      </c>
      <c r="Q27" s="2">
        <v>3.83</v>
      </c>
      <c r="R27" s="15">
        <v>45559</v>
      </c>
      <c r="S27" s="2">
        <v>11.69</v>
      </c>
      <c r="T27" s="15">
        <v>45589</v>
      </c>
      <c r="U27" s="2">
        <v>32.200000000000003</v>
      </c>
      <c r="V27" s="15">
        <v>45620</v>
      </c>
      <c r="W27" s="2">
        <v>30.89</v>
      </c>
      <c r="X27" s="15">
        <v>45650</v>
      </c>
      <c r="Y27" s="2">
        <v>24.32</v>
      </c>
    </row>
    <row r="28" spans="2:25" x14ac:dyDescent="0.25">
      <c r="B28" s="15">
        <v>45316</v>
      </c>
      <c r="C28" s="2">
        <v>79.14</v>
      </c>
      <c r="D28" s="15">
        <v>45347</v>
      </c>
      <c r="E28" s="2">
        <v>68.31</v>
      </c>
      <c r="F28" s="15">
        <v>45376</v>
      </c>
      <c r="G28" s="2">
        <v>48.85</v>
      </c>
      <c r="H28" s="15">
        <v>45407</v>
      </c>
      <c r="I28" s="2">
        <v>33.28</v>
      </c>
      <c r="J28" s="15">
        <v>45437</v>
      </c>
      <c r="K28" s="2">
        <v>17.309999999999999</v>
      </c>
      <c r="L28" s="15">
        <v>45468</v>
      </c>
      <c r="M28" s="2">
        <v>6.78</v>
      </c>
      <c r="N28" s="15">
        <v>45498</v>
      </c>
      <c r="O28" s="2">
        <v>6.36</v>
      </c>
      <c r="P28" s="15">
        <v>45529</v>
      </c>
      <c r="Q28" s="2">
        <v>3.8</v>
      </c>
      <c r="R28" s="15">
        <v>45560</v>
      </c>
      <c r="S28" s="2">
        <v>7.78</v>
      </c>
      <c r="T28" s="15">
        <v>45590</v>
      </c>
      <c r="U28" s="2">
        <v>36.14</v>
      </c>
      <c r="V28" s="15">
        <v>45621</v>
      </c>
      <c r="W28" s="2">
        <v>36.159999999999997</v>
      </c>
      <c r="X28" s="15">
        <v>45651</v>
      </c>
      <c r="Y28" s="2">
        <v>38.14</v>
      </c>
    </row>
    <row r="29" spans="2:25" x14ac:dyDescent="0.25">
      <c r="B29" s="15">
        <v>45317</v>
      </c>
      <c r="C29" s="2">
        <v>79.38</v>
      </c>
      <c r="D29" s="15">
        <v>45348</v>
      </c>
      <c r="E29" s="2">
        <v>64.290000000000006</v>
      </c>
      <c r="F29" s="15">
        <v>45377</v>
      </c>
      <c r="G29" s="2">
        <v>49.16</v>
      </c>
      <c r="H29" s="15">
        <v>45408</v>
      </c>
      <c r="I29" s="2">
        <v>33.96</v>
      </c>
      <c r="J29" s="15">
        <v>45438</v>
      </c>
      <c r="K29" s="2" t="s">
        <v>0</v>
      </c>
      <c r="L29" s="15">
        <v>45469</v>
      </c>
      <c r="M29" s="2">
        <v>8.0399999999999991</v>
      </c>
      <c r="N29" s="15">
        <v>45499</v>
      </c>
      <c r="O29" s="2">
        <v>5.88</v>
      </c>
      <c r="P29" s="15">
        <v>45530</v>
      </c>
      <c r="Q29" s="2">
        <v>5.96</v>
      </c>
      <c r="R29" s="15">
        <v>45561</v>
      </c>
      <c r="S29" s="2">
        <v>4.3499999999999996</v>
      </c>
      <c r="T29" s="15">
        <v>45591</v>
      </c>
      <c r="U29" s="2">
        <v>37.42</v>
      </c>
      <c r="V29" s="15">
        <v>45622</v>
      </c>
      <c r="W29" s="2">
        <v>36.51</v>
      </c>
      <c r="X29" s="15">
        <v>45652</v>
      </c>
      <c r="Y29" s="2">
        <v>43.7</v>
      </c>
    </row>
    <row r="30" spans="2:25" x14ac:dyDescent="0.25">
      <c r="B30" s="15">
        <v>45318</v>
      </c>
      <c r="C30" s="2">
        <v>71.09</v>
      </c>
      <c r="D30" s="15">
        <v>45349</v>
      </c>
      <c r="E30" s="2">
        <v>65.22</v>
      </c>
      <c r="F30" s="15">
        <v>45378</v>
      </c>
      <c r="G30" s="2">
        <v>42.65</v>
      </c>
      <c r="H30" s="15">
        <v>45409</v>
      </c>
      <c r="I30" s="2">
        <v>32.36</v>
      </c>
      <c r="J30" s="15">
        <v>45439</v>
      </c>
      <c r="K30" s="2" t="s">
        <v>0</v>
      </c>
      <c r="L30" s="15">
        <v>45470</v>
      </c>
      <c r="M30" s="2">
        <v>8.36</v>
      </c>
      <c r="N30" s="15">
        <v>45500</v>
      </c>
      <c r="O30" s="2">
        <v>6.55</v>
      </c>
      <c r="P30" s="15">
        <v>45531</v>
      </c>
      <c r="Q30" s="2">
        <v>4.05</v>
      </c>
      <c r="R30" s="15">
        <v>45562</v>
      </c>
      <c r="S30" s="2">
        <v>2.4300000000000002</v>
      </c>
      <c r="T30" s="15">
        <v>45592</v>
      </c>
      <c r="U30" s="2">
        <v>33.25</v>
      </c>
      <c r="V30" s="15">
        <v>45623</v>
      </c>
      <c r="W30" s="2">
        <v>38.72</v>
      </c>
      <c r="X30" s="15">
        <v>45653</v>
      </c>
      <c r="Y30" s="2">
        <v>20.83</v>
      </c>
    </row>
    <row r="31" spans="2:25" x14ac:dyDescent="0.25">
      <c r="B31" s="15">
        <v>45319</v>
      </c>
      <c r="C31" s="2">
        <v>68.58</v>
      </c>
      <c r="D31" s="15">
        <v>45350</v>
      </c>
      <c r="E31" s="2">
        <v>61.55</v>
      </c>
      <c r="F31" s="15">
        <v>45379</v>
      </c>
      <c r="G31" s="2">
        <v>55.12</v>
      </c>
      <c r="H31" s="15">
        <v>45410</v>
      </c>
      <c r="I31" s="2">
        <v>39.770000000000003</v>
      </c>
      <c r="J31" s="15">
        <v>45440</v>
      </c>
      <c r="K31" s="2">
        <v>19.559999999999999</v>
      </c>
      <c r="L31" s="15">
        <v>45471</v>
      </c>
      <c r="M31" s="2">
        <v>14.26</v>
      </c>
      <c r="N31" s="15">
        <v>45501</v>
      </c>
      <c r="O31" s="2">
        <v>8.16</v>
      </c>
      <c r="P31" s="15">
        <v>45532</v>
      </c>
      <c r="Q31" s="2">
        <v>6.57</v>
      </c>
      <c r="R31" s="15">
        <v>45563</v>
      </c>
      <c r="S31" s="2">
        <v>4.03</v>
      </c>
      <c r="T31" s="15">
        <v>45593</v>
      </c>
      <c r="U31" s="2">
        <v>40.869999999999997</v>
      </c>
      <c r="V31" s="15">
        <v>45624</v>
      </c>
      <c r="W31" s="2">
        <v>42.68</v>
      </c>
      <c r="X31" s="15">
        <v>45654</v>
      </c>
      <c r="Y31" s="2">
        <v>30.96</v>
      </c>
    </row>
    <row r="32" spans="2:25" x14ac:dyDescent="0.25">
      <c r="B32" s="15">
        <v>45320</v>
      </c>
      <c r="C32" s="2">
        <v>85.44</v>
      </c>
      <c r="D32" s="15">
        <v>45351</v>
      </c>
      <c r="E32" s="2">
        <v>54.11</v>
      </c>
      <c r="F32" s="15">
        <v>45380</v>
      </c>
      <c r="G32" s="2">
        <v>50.36</v>
      </c>
      <c r="H32" s="15">
        <v>45411</v>
      </c>
      <c r="I32" s="2">
        <v>44.38</v>
      </c>
      <c r="J32" s="15">
        <v>45441</v>
      </c>
      <c r="K32" s="2">
        <v>15.68</v>
      </c>
      <c r="L32" s="15">
        <v>45472</v>
      </c>
      <c r="M32" s="2">
        <v>10.92</v>
      </c>
      <c r="N32" s="15">
        <v>45502</v>
      </c>
      <c r="O32" s="2">
        <v>12.24</v>
      </c>
      <c r="P32" s="15">
        <v>45533</v>
      </c>
      <c r="Q32" s="2">
        <v>5.64</v>
      </c>
      <c r="R32" s="15">
        <v>45564</v>
      </c>
      <c r="S32" s="2">
        <v>7.1</v>
      </c>
      <c r="T32" s="15">
        <v>45594</v>
      </c>
      <c r="U32" s="2">
        <v>39.07</v>
      </c>
      <c r="V32" s="15">
        <v>45625</v>
      </c>
      <c r="W32" s="2">
        <v>38.659999999999997</v>
      </c>
      <c r="X32" s="15">
        <v>45655</v>
      </c>
      <c r="Y32" s="2">
        <v>43.34</v>
      </c>
    </row>
    <row r="33" spans="2:25" x14ac:dyDescent="0.25">
      <c r="B33" s="15">
        <v>45321</v>
      </c>
      <c r="C33" s="2">
        <v>96.09</v>
      </c>
      <c r="D33" s="12"/>
      <c r="E33" s="12"/>
      <c r="F33" s="15">
        <v>45381</v>
      </c>
      <c r="G33" s="2">
        <v>39.75</v>
      </c>
      <c r="H33" s="15">
        <v>45412</v>
      </c>
      <c r="I33" s="2">
        <v>38.619999999999997</v>
      </c>
      <c r="J33" s="15">
        <v>45442</v>
      </c>
      <c r="K33" s="2">
        <v>16.05</v>
      </c>
      <c r="L33" s="15">
        <v>45473</v>
      </c>
      <c r="M33" s="2">
        <v>11.01</v>
      </c>
      <c r="N33" s="15">
        <v>45503</v>
      </c>
      <c r="O33" s="2">
        <v>10.83</v>
      </c>
      <c r="P33" s="15">
        <v>45534</v>
      </c>
      <c r="Q33" s="2">
        <v>7.63</v>
      </c>
      <c r="R33" s="15">
        <v>45565</v>
      </c>
      <c r="S33" s="2">
        <v>10.53</v>
      </c>
      <c r="T33" s="15">
        <v>45595</v>
      </c>
      <c r="U33" s="2">
        <v>35.07</v>
      </c>
      <c r="V33" s="15">
        <v>45626</v>
      </c>
      <c r="W33" s="2">
        <v>42.91</v>
      </c>
      <c r="X33" s="15">
        <v>45656</v>
      </c>
      <c r="Y33" s="2">
        <v>33.950000000000003</v>
      </c>
    </row>
    <row r="34" spans="2:25" x14ac:dyDescent="0.25">
      <c r="B34" s="23">
        <v>45322</v>
      </c>
      <c r="C34" s="24">
        <v>84.34</v>
      </c>
      <c r="D34" s="12"/>
      <c r="E34" s="12"/>
      <c r="F34" s="23">
        <v>45382</v>
      </c>
      <c r="G34" s="24">
        <v>45.23</v>
      </c>
      <c r="H34" s="12"/>
      <c r="I34" s="12"/>
      <c r="J34" s="23">
        <v>45443</v>
      </c>
      <c r="K34" s="24" t="s">
        <v>0</v>
      </c>
      <c r="L34" s="12"/>
      <c r="M34" s="12"/>
      <c r="N34" s="23">
        <v>45504</v>
      </c>
      <c r="O34" s="24">
        <v>7.16</v>
      </c>
      <c r="P34" s="23">
        <v>45535</v>
      </c>
      <c r="Q34" s="24">
        <v>6.82</v>
      </c>
      <c r="R34" s="12"/>
      <c r="S34" s="12"/>
      <c r="T34" s="23">
        <v>45596</v>
      </c>
      <c r="U34" s="24">
        <v>34.96</v>
      </c>
      <c r="V34" s="12"/>
      <c r="W34" s="12"/>
      <c r="X34" s="23">
        <v>45657</v>
      </c>
      <c r="Y34" s="24">
        <v>28.3</v>
      </c>
    </row>
    <row r="35" spans="2:25" ht="18.75" x14ac:dyDescent="0.3">
      <c r="B35" s="25" t="s">
        <v>20</v>
      </c>
      <c r="C35" s="21">
        <f>MAX(C4:C34)</f>
        <v>96.09</v>
      </c>
      <c r="D35" s="21"/>
      <c r="E35" s="21">
        <f t="shared" ref="D35:Y35" si="0">MAX(E4:E34)</f>
        <v>101.22</v>
      </c>
      <c r="F35" s="21"/>
      <c r="G35" s="21">
        <f t="shared" si="0"/>
        <v>72.23</v>
      </c>
      <c r="H35" s="21"/>
      <c r="I35" s="21">
        <f t="shared" si="0"/>
        <v>50.13</v>
      </c>
      <c r="J35" s="21"/>
      <c r="K35" s="21">
        <f t="shared" si="0"/>
        <v>31.94</v>
      </c>
      <c r="L35" s="21"/>
      <c r="M35" s="21">
        <f t="shared" si="0"/>
        <v>16.36</v>
      </c>
      <c r="N35" s="21"/>
      <c r="O35" s="21">
        <f t="shared" si="0"/>
        <v>13.34</v>
      </c>
      <c r="P35" s="21"/>
      <c r="Q35" s="21">
        <f t="shared" si="0"/>
        <v>17.34</v>
      </c>
      <c r="R35" s="21"/>
      <c r="S35" s="21">
        <f t="shared" si="0"/>
        <v>14.22</v>
      </c>
      <c r="T35" s="21"/>
      <c r="U35" s="21">
        <f t="shared" si="0"/>
        <v>40.869999999999997</v>
      </c>
      <c r="V35" s="21"/>
      <c r="W35" s="21">
        <f t="shared" si="0"/>
        <v>53.37</v>
      </c>
      <c r="X35" s="21"/>
      <c r="Y35" s="21">
        <f t="shared" si="0"/>
        <v>48.34</v>
      </c>
    </row>
    <row r="36" spans="2:25" ht="18.75" x14ac:dyDescent="0.3">
      <c r="B36" s="25" t="s">
        <v>18</v>
      </c>
      <c r="C36" s="20">
        <f>AVERAGE(C4:C34)</f>
        <v>68.900967741935474</v>
      </c>
      <c r="D36" s="20"/>
      <c r="E36" s="20">
        <f t="shared" ref="E36:Y36" si="1">AVERAGE(E4:E34)</f>
        <v>74.129655172413806</v>
      </c>
      <c r="F36" s="20"/>
      <c r="G36" s="20">
        <f t="shared" si="1"/>
        <v>53.209677419354833</v>
      </c>
      <c r="H36" s="20"/>
      <c r="I36" s="20">
        <f t="shared" si="1"/>
        <v>38.647999999999996</v>
      </c>
      <c r="J36" s="20"/>
      <c r="K36" s="20">
        <f t="shared" si="1"/>
        <v>23.13035714285714</v>
      </c>
      <c r="L36" s="20"/>
      <c r="M36" s="20">
        <f t="shared" si="1"/>
        <v>11.858333333333336</v>
      </c>
      <c r="N36" s="20"/>
      <c r="O36" s="20">
        <f t="shared" si="1"/>
        <v>8.2092857142857145</v>
      </c>
      <c r="P36" s="20"/>
      <c r="Q36" s="20">
        <f t="shared" si="1"/>
        <v>8.3474193548387117</v>
      </c>
      <c r="R36" s="20"/>
      <c r="S36" s="20">
        <f t="shared" si="1"/>
        <v>8.5072413793103454</v>
      </c>
      <c r="T36" s="20"/>
      <c r="U36" s="20">
        <f t="shared" si="1"/>
        <v>20.985000000000007</v>
      </c>
      <c r="V36" s="20"/>
      <c r="W36" s="20">
        <f t="shared" si="1"/>
        <v>40.113000000000014</v>
      </c>
      <c r="X36" s="20"/>
      <c r="Y36" s="20">
        <f t="shared" si="1"/>
        <v>31.506774193548395</v>
      </c>
    </row>
    <row r="37" spans="2:25" ht="18.75" x14ac:dyDescent="0.3">
      <c r="B37" s="25" t="s">
        <v>19</v>
      </c>
      <c r="C37" s="21">
        <f>MIN(C4:C34)</f>
        <v>32.19</v>
      </c>
      <c r="D37" s="21"/>
      <c r="E37" s="21">
        <f t="shared" ref="D37:Y37" si="2">MIN(E4:E34)</f>
        <v>52.61</v>
      </c>
      <c r="F37" s="21"/>
      <c r="G37" s="21">
        <f t="shared" si="2"/>
        <v>35.67</v>
      </c>
      <c r="H37" s="21"/>
      <c r="I37" s="21">
        <f t="shared" si="2"/>
        <v>28.15</v>
      </c>
      <c r="J37" s="21"/>
      <c r="K37" s="21">
        <f t="shared" si="2"/>
        <v>15.68</v>
      </c>
      <c r="L37" s="21"/>
      <c r="M37" s="21">
        <f t="shared" si="2"/>
        <v>6.78</v>
      </c>
      <c r="N37" s="21"/>
      <c r="O37" s="21">
        <f t="shared" si="2"/>
        <v>2.17</v>
      </c>
      <c r="P37" s="21"/>
      <c r="Q37" s="21">
        <f t="shared" si="2"/>
        <v>3.8</v>
      </c>
      <c r="R37" s="21"/>
      <c r="S37" s="21">
        <f t="shared" si="2"/>
        <v>2.4300000000000002</v>
      </c>
      <c r="T37" s="21"/>
      <c r="U37" s="21">
        <f t="shared" si="2"/>
        <v>3.34</v>
      </c>
      <c r="V37" s="21"/>
      <c r="W37" s="21">
        <f t="shared" si="2"/>
        <v>22.48</v>
      </c>
      <c r="X37" s="21"/>
      <c r="Y37" s="21">
        <f t="shared" si="2"/>
        <v>16.05</v>
      </c>
    </row>
    <row r="38" spans="2:25" ht="15.75" thickBot="1" x14ac:dyDescent="0.3">
      <c r="B38" s="11">
        <v>2024</v>
      </c>
      <c r="C38" s="22"/>
    </row>
    <row r="39" spans="2:25" x14ac:dyDescent="0.25">
      <c r="B39" s="5" t="s">
        <v>2</v>
      </c>
      <c r="C39" s="6">
        <f>AVERAGE(C4:C34)</f>
        <v>68.900967741935474</v>
      </c>
    </row>
    <row r="40" spans="2:25" x14ac:dyDescent="0.25">
      <c r="B40" s="7" t="s">
        <v>3</v>
      </c>
      <c r="C40" s="8">
        <f>AVERAGE(E4:E34)</f>
        <v>74.129655172413806</v>
      </c>
    </row>
    <row r="41" spans="2:25" x14ac:dyDescent="0.25">
      <c r="B41" s="7" t="s">
        <v>4</v>
      </c>
      <c r="C41" s="8">
        <f>AVERAGE(G4:G34)</f>
        <v>53.209677419354833</v>
      </c>
    </row>
    <row r="42" spans="2:25" x14ac:dyDescent="0.25">
      <c r="B42" s="7" t="s">
        <v>5</v>
      </c>
      <c r="C42" s="8">
        <f>AVERAGE(I4:I34)</f>
        <v>38.647999999999996</v>
      </c>
    </row>
    <row r="43" spans="2:25" x14ac:dyDescent="0.25">
      <c r="B43" s="7" t="s">
        <v>6</v>
      </c>
      <c r="C43" s="8">
        <f>AVERAGE(K4:K34)</f>
        <v>23.13035714285714</v>
      </c>
    </row>
    <row r="44" spans="2:25" x14ac:dyDescent="0.25">
      <c r="B44" s="7" t="s">
        <v>7</v>
      </c>
      <c r="C44" s="8">
        <f>AVERAGE(M4:M34)</f>
        <v>11.858333333333336</v>
      </c>
    </row>
    <row r="45" spans="2:25" x14ac:dyDescent="0.25">
      <c r="B45" s="7" t="s">
        <v>8</v>
      </c>
      <c r="C45" s="8">
        <f>AVERAGE(O4:O34)</f>
        <v>8.2092857142857145</v>
      </c>
    </row>
    <row r="46" spans="2:25" x14ac:dyDescent="0.25">
      <c r="B46" s="7" t="s">
        <v>9</v>
      </c>
      <c r="C46" s="8">
        <f>AVERAGE(Q4:Q34)</f>
        <v>8.3474193548387117</v>
      </c>
    </row>
    <row r="47" spans="2:25" x14ac:dyDescent="0.25">
      <c r="B47" s="7" t="s">
        <v>10</v>
      </c>
      <c r="C47" s="8">
        <f>AVERAGE(S4:S34)</f>
        <v>8.5072413793103454</v>
      </c>
    </row>
    <row r="48" spans="2:25" x14ac:dyDescent="0.25">
      <c r="B48" s="7" t="s">
        <v>11</v>
      </c>
      <c r="C48" s="8">
        <f>AVERAGE(U4:U34)</f>
        <v>20.985000000000007</v>
      </c>
    </row>
    <row r="49" spans="2:3" x14ac:dyDescent="0.25">
      <c r="B49" s="7" t="s">
        <v>12</v>
      </c>
      <c r="C49" s="8">
        <f>AVERAGE(W4:W34)</f>
        <v>40.113000000000014</v>
      </c>
    </row>
    <row r="50" spans="2:3" ht="15.75" thickBot="1" x14ac:dyDescent="0.3">
      <c r="B50" s="9" t="s">
        <v>13</v>
      </c>
      <c r="C50" s="10">
        <f>AVERAGE(Y4:Y34)</f>
        <v>31.506774193548395</v>
      </c>
    </row>
    <row r="51" spans="2:3" x14ac:dyDescent="0.25">
      <c r="B51"/>
      <c r="C51"/>
    </row>
    <row r="52" spans="2:3" x14ac:dyDescent="0.25">
      <c r="B52"/>
      <c r="C52"/>
    </row>
    <row r="53" spans="2:3" x14ac:dyDescent="0.25">
      <c r="B53"/>
      <c r="C53"/>
    </row>
    <row r="54" spans="2:3" x14ac:dyDescent="0.25">
      <c r="B54"/>
      <c r="C54"/>
    </row>
    <row r="55" spans="2:3" x14ac:dyDescent="0.25">
      <c r="B55"/>
      <c r="C55"/>
    </row>
    <row r="56" spans="2:3" x14ac:dyDescent="0.25">
      <c r="B56"/>
      <c r="C56"/>
    </row>
    <row r="57" spans="2:3" x14ac:dyDescent="0.25">
      <c r="B57"/>
      <c r="C57"/>
    </row>
    <row r="58" spans="2:3" x14ac:dyDescent="0.25">
      <c r="B58"/>
      <c r="C58"/>
    </row>
    <row r="59" spans="2:3" x14ac:dyDescent="0.25">
      <c r="B59"/>
      <c r="C59"/>
    </row>
    <row r="60" spans="2:3" x14ac:dyDescent="0.25">
      <c r="B60"/>
      <c r="C60"/>
    </row>
    <row r="61" spans="2:3" x14ac:dyDescent="0.25">
      <c r="B61"/>
      <c r="C61"/>
    </row>
    <row r="62" spans="2:3" x14ac:dyDescent="0.25">
      <c r="B62"/>
      <c r="C62"/>
    </row>
    <row r="63" spans="2:3" x14ac:dyDescent="0.25">
      <c r="B63"/>
      <c r="C63"/>
    </row>
    <row r="64" spans="2:3" x14ac:dyDescent="0.25">
      <c r="B64"/>
      <c r="C64"/>
    </row>
    <row r="65" spans="2:3" x14ac:dyDescent="0.25">
      <c r="B65"/>
      <c r="C65"/>
    </row>
    <row r="66" spans="2:3" x14ac:dyDescent="0.25">
      <c r="B66"/>
      <c r="C66"/>
    </row>
    <row r="67" spans="2:3" x14ac:dyDescent="0.25">
      <c r="B67"/>
      <c r="C67"/>
    </row>
    <row r="68" spans="2:3" x14ac:dyDescent="0.25">
      <c r="B68"/>
      <c r="C68"/>
    </row>
    <row r="69" spans="2:3" x14ac:dyDescent="0.25">
      <c r="B69"/>
      <c r="C69"/>
    </row>
    <row r="70" spans="2:3" x14ac:dyDescent="0.25">
      <c r="B70"/>
      <c r="C70"/>
    </row>
    <row r="71" spans="2:3" x14ac:dyDescent="0.25">
      <c r="B71"/>
      <c r="C71"/>
    </row>
    <row r="72" spans="2:3" x14ac:dyDescent="0.25">
      <c r="B72"/>
      <c r="C72"/>
    </row>
    <row r="73" spans="2:3" x14ac:dyDescent="0.25">
      <c r="B73"/>
      <c r="C73"/>
    </row>
    <row r="74" spans="2:3" x14ac:dyDescent="0.25">
      <c r="B74"/>
      <c r="C74"/>
    </row>
    <row r="75" spans="2:3" x14ac:dyDescent="0.25">
      <c r="B75"/>
      <c r="C75"/>
    </row>
    <row r="76" spans="2:3" x14ac:dyDescent="0.25">
      <c r="B76"/>
      <c r="C76"/>
    </row>
    <row r="77" spans="2:3" x14ac:dyDescent="0.25">
      <c r="B77"/>
      <c r="C77"/>
    </row>
    <row r="78" spans="2:3" x14ac:dyDescent="0.25">
      <c r="B78"/>
      <c r="C78"/>
    </row>
    <row r="79" spans="2:3" x14ac:dyDescent="0.25">
      <c r="B79"/>
      <c r="C79"/>
    </row>
    <row r="80" spans="2:3" x14ac:dyDescent="0.25">
      <c r="B80"/>
      <c r="C80"/>
    </row>
    <row r="81" spans="2:3" x14ac:dyDescent="0.25">
      <c r="B81"/>
      <c r="C81"/>
    </row>
    <row r="82" spans="2:3" x14ac:dyDescent="0.25">
      <c r="B82"/>
      <c r="C82"/>
    </row>
    <row r="83" spans="2:3" x14ac:dyDescent="0.25">
      <c r="B83"/>
      <c r="C83"/>
    </row>
    <row r="84" spans="2:3" x14ac:dyDescent="0.25">
      <c r="B84"/>
      <c r="C84"/>
    </row>
    <row r="85" spans="2:3" x14ac:dyDescent="0.25">
      <c r="B85"/>
      <c r="C85"/>
    </row>
    <row r="86" spans="2:3" x14ac:dyDescent="0.25">
      <c r="B86"/>
      <c r="C86"/>
    </row>
    <row r="87" spans="2:3" x14ac:dyDescent="0.25">
      <c r="B87"/>
      <c r="C87"/>
    </row>
    <row r="88" spans="2:3" x14ac:dyDescent="0.25">
      <c r="B88"/>
      <c r="C88"/>
    </row>
    <row r="89" spans="2:3" x14ac:dyDescent="0.25">
      <c r="B89"/>
      <c r="C89"/>
    </row>
    <row r="90" spans="2:3" x14ac:dyDescent="0.25">
      <c r="B90"/>
      <c r="C90"/>
    </row>
    <row r="91" spans="2:3" x14ac:dyDescent="0.25">
      <c r="B91"/>
      <c r="C91"/>
    </row>
    <row r="92" spans="2:3" x14ac:dyDescent="0.25">
      <c r="B92"/>
      <c r="C92"/>
    </row>
    <row r="93" spans="2:3" x14ac:dyDescent="0.25">
      <c r="B93"/>
      <c r="C93"/>
    </row>
    <row r="94" spans="2:3" x14ac:dyDescent="0.25">
      <c r="B94"/>
      <c r="C94"/>
    </row>
    <row r="95" spans="2:3" x14ac:dyDescent="0.25">
      <c r="B95"/>
      <c r="C95"/>
    </row>
    <row r="96" spans="2:3" x14ac:dyDescent="0.25">
      <c r="B96"/>
      <c r="C96"/>
    </row>
    <row r="97" spans="2:3" x14ac:dyDescent="0.25">
      <c r="B97"/>
      <c r="C97"/>
    </row>
    <row r="98" spans="2:3" x14ac:dyDescent="0.25">
      <c r="B98"/>
      <c r="C98"/>
    </row>
    <row r="99" spans="2:3" x14ac:dyDescent="0.25">
      <c r="B99"/>
      <c r="C99"/>
    </row>
    <row r="100" spans="2:3" x14ac:dyDescent="0.25">
      <c r="B100"/>
      <c r="C100"/>
    </row>
    <row r="101" spans="2:3" x14ac:dyDescent="0.25">
      <c r="B101"/>
      <c r="C101"/>
    </row>
    <row r="102" spans="2:3" x14ac:dyDescent="0.25">
      <c r="B102"/>
      <c r="C102"/>
    </row>
    <row r="103" spans="2:3" x14ac:dyDescent="0.25">
      <c r="B103"/>
      <c r="C103"/>
    </row>
    <row r="104" spans="2:3" x14ac:dyDescent="0.25">
      <c r="B104"/>
      <c r="C104"/>
    </row>
    <row r="105" spans="2:3" x14ac:dyDescent="0.25">
      <c r="B105"/>
      <c r="C105"/>
    </row>
    <row r="106" spans="2:3" x14ac:dyDescent="0.25">
      <c r="B106"/>
      <c r="C106"/>
    </row>
    <row r="107" spans="2:3" x14ac:dyDescent="0.25">
      <c r="B107"/>
      <c r="C107"/>
    </row>
    <row r="108" spans="2:3" x14ac:dyDescent="0.25">
      <c r="B108"/>
      <c r="C108"/>
    </row>
    <row r="109" spans="2:3" x14ac:dyDescent="0.25">
      <c r="B109"/>
      <c r="C109"/>
    </row>
    <row r="110" spans="2:3" x14ac:dyDescent="0.25">
      <c r="B110"/>
      <c r="C110"/>
    </row>
    <row r="111" spans="2:3" x14ac:dyDescent="0.25">
      <c r="B111"/>
      <c r="C111"/>
    </row>
    <row r="112" spans="2:3" x14ac:dyDescent="0.25">
      <c r="B112"/>
      <c r="C112"/>
    </row>
    <row r="113" spans="2:3" x14ac:dyDescent="0.25">
      <c r="B113"/>
      <c r="C113"/>
    </row>
    <row r="114" spans="2:3" x14ac:dyDescent="0.25">
      <c r="B114"/>
      <c r="C114"/>
    </row>
    <row r="115" spans="2:3" x14ac:dyDescent="0.25">
      <c r="B115"/>
      <c r="C115"/>
    </row>
    <row r="116" spans="2:3" x14ac:dyDescent="0.25">
      <c r="B116"/>
      <c r="C116"/>
    </row>
    <row r="117" spans="2:3" x14ac:dyDescent="0.25">
      <c r="B117"/>
      <c r="C117"/>
    </row>
    <row r="118" spans="2:3" x14ac:dyDescent="0.25">
      <c r="B118"/>
      <c r="C118"/>
    </row>
    <row r="119" spans="2:3" x14ac:dyDescent="0.25">
      <c r="B119"/>
      <c r="C119"/>
    </row>
    <row r="120" spans="2:3" x14ac:dyDescent="0.25">
      <c r="B120"/>
      <c r="C120"/>
    </row>
    <row r="121" spans="2:3" x14ac:dyDescent="0.25">
      <c r="B121"/>
      <c r="C121"/>
    </row>
    <row r="122" spans="2:3" x14ac:dyDescent="0.25">
      <c r="B122"/>
      <c r="C122"/>
    </row>
    <row r="123" spans="2:3" x14ac:dyDescent="0.25">
      <c r="B123"/>
      <c r="C123"/>
    </row>
    <row r="124" spans="2:3" x14ac:dyDescent="0.25">
      <c r="B124"/>
      <c r="C124"/>
    </row>
    <row r="125" spans="2:3" x14ac:dyDescent="0.25">
      <c r="B125"/>
      <c r="C125"/>
    </row>
    <row r="126" spans="2:3" x14ac:dyDescent="0.25">
      <c r="B126"/>
      <c r="C126"/>
    </row>
    <row r="127" spans="2:3" x14ac:dyDescent="0.25">
      <c r="B127"/>
      <c r="C127"/>
    </row>
    <row r="128" spans="2:3" x14ac:dyDescent="0.25">
      <c r="B128"/>
      <c r="C128"/>
    </row>
    <row r="129" spans="2:3" x14ac:dyDescent="0.25">
      <c r="B129"/>
      <c r="C129"/>
    </row>
    <row r="130" spans="2:3" x14ac:dyDescent="0.25">
      <c r="B130"/>
      <c r="C130"/>
    </row>
    <row r="131" spans="2:3" x14ac:dyDescent="0.25">
      <c r="B131"/>
      <c r="C131"/>
    </row>
    <row r="132" spans="2:3" x14ac:dyDescent="0.25">
      <c r="B132"/>
      <c r="C132"/>
    </row>
    <row r="133" spans="2:3" x14ac:dyDescent="0.25">
      <c r="B133"/>
      <c r="C133"/>
    </row>
    <row r="134" spans="2:3" x14ac:dyDescent="0.25">
      <c r="B134"/>
      <c r="C134"/>
    </row>
    <row r="135" spans="2:3" x14ac:dyDescent="0.25">
      <c r="B135"/>
      <c r="C135"/>
    </row>
    <row r="136" spans="2:3" x14ac:dyDescent="0.25">
      <c r="B136"/>
      <c r="C136"/>
    </row>
    <row r="137" spans="2:3" x14ac:dyDescent="0.25">
      <c r="B137"/>
      <c r="C137"/>
    </row>
    <row r="138" spans="2:3" x14ac:dyDescent="0.25">
      <c r="B138"/>
      <c r="C138"/>
    </row>
    <row r="139" spans="2:3" x14ac:dyDescent="0.25">
      <c r="B139"/>
      <c r="C139"/>
    </row>
    <row r="140" spans="2:3" x14ac:dyDescent="0.25">
      <c r="B140"/>
      <c r="C140"/>
    </row>
    <row r="141" spans="2:3" x14ac:dyDescent="0.25">
      <c r="B141"/>
      <c r="C141"/>
    </row>
    <row r="142" spans="2:3" x14ac:dyDescent="0.25">
      <c r="B142"/>
      <c r="C142"/>
    </row>
    <row r="143" spans="2:3" x14ac:dyDescent="0.25">
      <c r="B143"/>
      <c r="C143"/>
    </row>
    <row r="144" spans="2:3" x14ac:dyDescent="0.25">
      <c r="B144"/>
      <c r="C144"/>
    </row>
    <row r="145" spans="2:3" x14ac:dyDescent="0.25">
      <c r="B145"/>
      <c r="C145"/>
    </row>
    <row r="146" spans="2:3" x14ac:dyDescent="0.25">
      <c r="B146"/>
      <c r="C146"/>
    </row>
    <row r="147" spans="2:3" x14ac:dyDescent="0.25">
      <c r="B147"/>
      <c r="C147"/>
    </row>
    <row r="148" spans="2:3" x14ac:dyDescent="0.25">
      <c r="B148"/>
      <c r="C148"/>
    </row>
    <row r="149" spans="2:3" x14ac:dyDescent="0.25">
      <c r="B149"/>
      <c r="C149"/>
    </row>
    <row r="150" spans="2:3" x14ac:dyDescent="0.25">
      <c r="B150"/>
      <c r="C150"/>
    </row>
    <row r="151" spans="2:3" x14ac:dyDescent="0.25">
      <c r="B151"/>
      <c r="C151"/>
    </row>
    <row r="152" spans="2:3" x14ac:dyDescent="0.25">
      <c r="B152"/>
      <c r="C152"/>
    </row>
    <row r="153" spans="2:3" x14ac:dyDescent="0.25">
      <c r="B153"/>
      <c r="C153"/>
    </row>
    <row r="154" spans="2:3" x14ac:dyDescent="0.25">
      <c r="B154"/>
      <c r="C154"/>
    </row>
    <row r="155" spans="2:3" x14ac:dyDescent="0.25">
      <c r="B155"/>
      <c r="C155"/>
    </row>
    <row r="156" spans="2:3" x14ac:dyDescent="0.25">
      <c r="B156"/>
      <c r="C156"/>
    </row>
    <row r="157" spans="2:3" x14ac:dyDescent="0.25">
      <c r="B157"/>
      <c r="C157"/>
    </row>
    <row r="158" spans="2:3" x14ac:dyDescent="0.25">
      <c r="B158"/>
      <c r="C158"/>
    </row>
    <row r="159" spans="2:3" x14ac:dyDescent="0.25">
      <c r="B159"/>
      <c r="C159"/>
    </row>
    <row r="160" spans="2:3" x14ac:dyDescent="0.25">
      <c r="B160"/>
      <c r="C160"/>
    </row>
    <row r="161" spans="2:3" x14ac:dyDescent="0.25">
      <c r="B161"/>
      <c r="C161"/>
    </row>
    <row r="162" spans="2:3" x14ac:dyDescent="0.25">
      <c r="B162"/>
      <c r="C162"/>
    </row>
    <row r="163" spans="2:3" x14ac:dyDescent="0.25">
      <c r="B163"/>
      <c r="C163"/>
    </row>
    <row r="164" spans="2:3" x14ac:dyDescent="0.25">
      <c r="B164"/>
      <c r="C164"/>
    </row>
    <row r="165" spans="2:3" x14ac:dyDescent="0.25">
      <c r="B165"/>
      <c r="C165"/>
    </row>
    <row r="166" spans="2:3" x14ac:dyDescent="0.25">
      <c r="B166"/>
      <c r="C166"/>
    </row>
    <row r="167" spans="2:3" x14ac:dyDescent="0.25">
      <c r="B167"/>
      <c r="C167"/>
    </row>
    <row r="168" spans="2:3" x14ac:dyDescent="0.25">
      <c r="B168"/>
      <c r="C168"/>
    </row>
    <row r="169" spans="2:3" x14ac:dyDescent="0.25">
      <c r="B169"/>
      <c r="C169"/>
    </row>
    <row r="170" spans="2:3" x14ac:dyDescent="0.25">
      <c r="B170"/>
      <c r="C170"/>
    </row>
    <row r="171" spans="2:3" x14ac:dyDescent="0.25">
      <c r="B171"/>
      <c r="C171"/>
    </row>
    <row r="172" spans="2:3" x14ac:dyDescent="0.25">
      <c r="B172"/>
      <c r="C172"/>
    </row>
    <row r="173" spans="2:3" x14ac:dyDescent="0.25">
      <c r="B173"/>
      <c r="C173"/>
    </row>
    <row r="174" spans="2:3" x14ac:dyDescent="0.25">
      <c r="B174"/>
      <c r="C174"/>
    </row>
    <row r="175" spans="2:3" x14ac:dyDescent="0.25">
      <c r="B175"/>
      <c r="C175"/>
    </row>
    <row r="176" spans="2:3" x14ac:dyDescent="0.25">
      <c r="B176"/>
      <c r="C176"/>
    </row>
    <row r="177" spans="2:3" x14ac:dyDescent="0.25">
      <c r="B177"/>
      <c r="C177"/>
    </row>
    <row r="178" spans="2:3" x14ac:dyDescent="0.25">
      <c r="B178"/>
      <c r="C178"/>
    </row>
    <row r="179" spans="2:3" x14ac:dyDescent="0.25">
      <c r="B179"/>
      <c r="C179"/>
    </row>
    <row r="180" spans="2:3" x14ac:dyDescent="0.25">
      <c r="B180"/>
      <c r="C180"/>
    </row>
    <row r="181" spans="2:3" x14ac:dyDescent="0.25">
      <c r="B181"/>
      <c r="C181"/>
    </row>
    <row r="182" spans="2:3" x14ac:dyDescent="0.25">
      <c r="B182"/>
      <c r="C182"/>
    </row>
    <row r="183" spans="2:3" x14ac:dyDescent="0.25">
      <c r="B183"/>
      <c r="C183"/>
    </row>
    <row r="184" spans="2:3" x14ac:dyDescent="0.25">
      <c r="B184"/>
      <c r="C184"/>
    </row>
    <row r="185" spans="2:3" x14ac:dyDescent="0.25">
      <c r="B185"/>
      <c r="C185"/>
    </row>
    <row r="186" spans="2:3" x14ac:dyDescent="0.25">
      <c r="B186"/>
      <c r="C186"/>
    </row>
    <row r="187" spans="2:3" x14ac:dyDescent="0.25">
      <c r="B187"/>
      <c r="C187"/>
    </row>
    <row r="188" spans="2:3" x14ac:dyDescent="0.25">
      <c r="B188"/>
      <c r="C188"/>
    </row>
    <row r="189" spans="2:3" x14ac:dyDescent="0.25">
      <c r="B189"/>
      <c r="C189"/>
    </row>
    <row r="190" spans="2:3" x14ac:dyDescent="0.25">
      <c r="B190"/>
      <c r="C190"/>
    </row>
    <row r="191" spans="2:3" x14ac:dyDescent="0.25">
      <c r="B191"/>
      <c r="C191"/>
    </row>
    <row r="192" spans="2:3" x14ac:dyDescent="0.25">
      <c r="B192"/>
      <c r="C192"/>
    </row>
    <row r="193" spans="2:3" x14ac:dyDescent="0.25">
      <c r="B193"/>
      <c r="C193"/>
    </row>
    <row r="194" spans="2:3" x14ac:dyDescent="0.25">
      <c r="B194"/>
      <c r="C194"/>
    </row>
    <row r="195" spans="2:3" x14ac:dyDescent="0.25">
      <c r="B195"/>
      <c r="C195"/>
    </row>
    <row r="196" spans="2:3" x14ac:dyDescent="0.25">
      <c r="B196"/>
      <c r="C196"/>
    </row>
    <row r="197" spans="2:3" x14ac:dyDescent="0.25">
      <c r="B197"/>
      <c r="C197"/>
    </row>
    <row r="198" spans="2:3" x14ac:dyDescent="0.25">
      <c r="B198"/>
      <c r="C198"/>
    </row>
    <row r="199" spans="2:3" x14ac:dyDescent="0.25">
      <c r="B199"/>
      <c r="C199"/>
    </row>
    <row r="200" spans="2:3" x14ac:dyDescent="0.25">
      <c r="B200"/>
      <c r="C200"/>
    </row>
    <row r="201" spans="2:3" x14ac:dyDescent="0.25">
      <c r="B201"/>
      <c r="C201"/>
    </row>
    <row r="202" spans="2:3" x14ac:dyDescent="0.25">
      <c r="B202"/>
      <c r="C202"/>
    </row>
    <row r="203" spans="2:3" x14ac:dyDescent="0.25">
      <c r="B203"/>
      <c r="C203"/>
    </row>
    <row r="204" spans="2:3" x14ac:dyDescent="0.25">
      <c r="B204"/>
      <c r="C204"/>
    </row>
    <row r="205" spans="2:3" x14ac:dyDescent="0.25">
      <c r="B205"/>
      <c r="C205"/>
    </row>
    <row r="206" spans="2:3" x14ac:dyDescent="0.25">
      <c r="B206"/>
      <c r="C206"/>
    </row>
    <row r="207" spans="2:3" x14ac:dyDescent="0.25">
      <c r="B207"/>
      <c r="C207"/>
    </row>
    <row r="208" spans="2:3" x14ac:dyDescent="0.25">
      <c r="B208"/>
      <c r="C208"/>
    </row>
    <row r="209" spans="2:3" x14ac:dyDescent="0.25">
      <c r="B209"/>
      <c r="C209"/>
    </row>
    <row r="210" spans="2:3" x14ac:dyDescent="0.25">
      <c r="B210"/>
      <c r="C210"/>
    </row>
    <row r="211" spans="2:3" x14ac:dyDescent="0.25">
      <c r="B211"/>
      <c r="C211"/>
    </row>
    <row r="212" spans="2:3" x14ac:dyDescent="0.25">
      <c r="B212"/>
      <c r="C212"/>
    </row>
    <row r="213" spans="2:3" x14ac:dyDescent="0.25">
      <c r="B213"/>
      <c r="C213"/>
    </row>
    <row r="214" spans="2:3" x14ac:dyDescent="0.25">
      <c r="B214"/>
      <c r="C214"/>
    </row>
    <row r="215" spans="2:3" x14ac:dyDescent="0.25">
      <c r="B215"/>
      <c r="C215"/>
    </row>
    <row r="216" spans="2:3" x14ac:dyDescent="0.25">
      <c r="B216"/>
      <c r="C216"/>
    </row>
    <row r="217" spans="2:3" x14ac:dyDescent="0.25">
      <c r="B217"/>
      <c r="C217"/>
    </row>
    <row r="218" spans="2:3" x14ac:dyDescent="0.25">
      <c r="B218"/>
      <c r="C218"/>
    </row>
    <row r="219" spans="2:3" x14ac:dyDescent="0.25">
      <c r="B219"/>
      <c r="C219"/>
    </row>
    <row r="220" spans="2:3" x14ac:dyDescent="0.25">
      <c r="B220"/>
      <c r="C220"/>
    </row>
    <row r="221" spans="2:3" x14ac:dyDescent="0.25">
      <c r="B221"/>
      <c r="C221"/>
    </row>
    <row r="222" spans="2:3" x14ac:dyDescent="0.25">
      <c r="B222"/>
      <c r="C222"/>
    </row>
    <row r="223" spans="2:3" x14ac:dyDescent="0.25">
      <c r="B223"/>
      <c r="C223"/>
    </row>
    <row r="224" spans="2:3" x14ac:dyDescent="0.25">
      <c r="B224"/>
      <c r="C224"/>
    </row>
    <row r="225" spans="2:3" x14ac:dyDescent="0.25">
      <c r="B225"/>
      <c r="C225"/>
    </row>
    <row r="226" spans="2:3" x14ac:dyDescent="0.25">
      <c r="B226"/>
      <c r="C226"/>
    </row>
    <row r="227" spans="2:3" x14ac:dyDescent="0.25">
      <c r="B227"/>
      <c r="C227"/>
    </row>
    <row r="228" spans="2:3" x14ac:dyDescent="0.25">
      <c r="B228"/>
      <c r="C228"/>
    </row>
    <row r="229" spans="2:3" x14ac:dyDescent="0.25">
      <c r="B229"/>
      <c r="C229"/>
    </row>
    <row r="230" spans="2:3" x14ac:dyDescent="0.25">
      <c r="B230"/>
      <c r="C230"/>
    </row>
    <row r="231" spans="2:3" x14ac:dyDescent="0.25">
      <c r="B231"/>
      <c r="C231"/>
    </row>
    <row r="232" spans="2:3" x14ac:dyDescent="0.25">
      <c r="B232"/>
      <c r="C232"/>
    </row>
    <row r="233" spans="2:3" x14ac:dyDescent="0.25">
      <c r="B233"/>
      <c r="C233"/>
    </row>
    <row r="234" spans="2:3" x14ac:dyDescent="0.25">
      <c r="B234"/>
      <c r="C234"/>
    </row>
    <row r="235" spans="2:3" x14ac:dyDescent="0.25">
      <c r="B235"/>
      <c r="C235"/>
    </row>
    <row r="236" spans="2:3" x14ac:dyDescent="0.25">
      <c r="B236"/>
      <c r="C236"/>
    </row>
    <row r="237" spans="2:3" x14ac:dyDescent="0.25">
      <c r="B237"/>
      <c r="C237"/>
    </row>
    <row r="238" spans="2:3" x14ac:dyDescent="0.25">
      <c r="B238"/>
      <c r="C238"/>
    </row>
    <row r="239" spans="2:3" x14ac:dyDescent="0.25">
      <c r="B239"/>
      <c r="C239"/>
    </row>
    <row r="240" spans="2:3" x14ac:dyDescent="0.25">
      <c r="B240"/>
      <c r="C240"/>
    </row>
    <row r="241" spans="2:3" x14ac:dyDescent="0.25">
      <c r="B241"/>
      <c r="C241"/>
    </row>
    <row r="242" spans="2:3" x14ac:dyDescent="0.25">
      <c r="B242"/>
      <c r="C242"/>
    </row>
    <row r="243" spans="2:3" x14ac:dyDescent="0.25">
      <c r="B243"/>
      <c r="C243"/>
    </row>
    <row r="244" spans="2:3" x14ac:dyDescent="0.25">
      <c r="B244"/>
      <c r="C244"/>
    </row>
    <row r="245" spans="2:3" x14ac:dyDescent="0.25">
      <c r="B245"/>
      <c r="C245"/>
    </row>
    <row r="246" spans="2:3" x14ac:dyDescent="0.25">
      <c r="B246"/>
      <c r="C246"/>
    </row>
    <row r="247" spans="2:3" x14ac:dyDescent="0.25">
      <c r="B247"/>
      <c r="C247"/>
    </row>
    <row r="248" spans="2:3" x14ac:dyDescent="0.25">
      <c r="B248"/>
      <c r="C248"/>
    </row>
    <row r="249" spans="2:3" x14ac:dyDescent="0.25">
      <c r="B249"/>
      <c r="C249"/>
    </row>
    <row r="250" spans="2:3" x14ac:dyDescent="0.25">
      <c r="B250"/>
      <c r="C250"/>
    </row>
    <row r="251" spans="2:3" x14ac:dyDescent="0.25">
      <c r="B251"/>
      <c r="C251"/>
    </row>
    <row r="252" spans="2:3" x14ac:dyDescent="0.25">
      <c r="B252"/>
      <c r="C252"/>
    </row>
    <row r="253" spans="2:3" x14ac:dyDescent="0.25">
      <c r="B253"/>
      <c r="C253"/>
    </row>
    <row r="254" spans="2:3" x14ac:dyDescent="0.25">
      <c r="B254"/>
      <c r="C254"/>
    </row>
    <row r="255" spans="2:3" x14ac:dyDescent="0.25">
      <c r="B255"/>
      <c r="C255"/>
    </row>
    <row r="256" spans="2:3" x14ac:dyDescent="0.25">
      <c r="B256"/>
      <c r="C256"/>
    </row>
    <row r="257" spans="2:3" x14ac:dyDescent="0.25">
      <c r="B257"/>
      <c r="C257"/>
    </row>
    <row r="258" spans="2:3" x14ac:dyDescent="0.25">
      <c r="B258"/>
      <c r="C258"/>
    </row>
    <row r="259" spans="2:3" x14ac:dyDescent="0.25">
      <c r="B259"/>
      <c r="C259"/>
    </row>
    <row r="260" spans="2:3" x14ac:dyDescent="0.25">
      <c r="B260"/>
      <c r="C260"/>
    </row>
    <row r="261" spans="2:3" x14ac:dyDescent="0.25">
      <c r="B261"/>
      <c r="C261"/>
    </row>
    <row r="262" spans="2:3" x14ac:dyDescent="0.25">
      <c r="B262"/>
      <c r="C262"/>
    </row>
    <row r="263" spans="2:3" x14ac:dyDescent="0.25">
      <c r="B263"/>
      <c r="C263"/>
    </row>
    <row r="264" spans="2:3" x14ac:dyDescent="0.25">
      <c r="B264"/>
      <c r="C264"/>
    </row>
    <row r="265" spans="2:3" x14ac:dyDescent="0.25">
      <c r="B265"/>
      <c r="C265"/>
    </row>
    <row r="266" spans="2:3" x14ac:dyDescent="0.25">
      <c r="B266"/>
      <c r="C266"/>
    </row>
    <row r="267" spans="2:3" x14ac:dyDescent="0.25">
      <c r="B267"/>
      <c r="C267"/>
    </row>
    <row r="268" spans="2:3" x14ac:dyDescent="0.25">
      <c r="B268"/>
      <c r="C268"/>
    </row>
    <row r="269" spans="2:3" x14ac:dyDescent="0.25">
      <c r="B269"/>
      <c r="C269"/>
    </row>
    <row r="270" spans="2:3" x14ac:dyDescent="0.25">
      <c r="B270"/>
      <c r="C270"/>
    </row>
    <row r="271" spans="2:3" x14ac:dyDescent="0.25">
      <c r="B271"/>
      <c r="C271"/>
    </row>
    <row r="272" spans="2:3" x14ac:dyDescent="0.25">
      <c r="B272"/>
      <c r="C272"/>
    </row>
    <row r="273" spans="2:3" x14ac:dyDescent="0.25">
      <c r="B273"/>
      <c r="C273"/>
    </row>
    <row r="274" spans="2:3" x14ac:dyDescent="0.25">
      <c r="B274"/>
      <c r="C274"/>
    </row>
    <row r="275" spans="2:3" x14ac:dyDescent="0.25">
      <c r="B275"/>
      <c r="C275"/>
    </row>
    <row r="276" spans="2:3" x14ac:dyDescent="0.25">
      <c r="B276"/>
      <c r="C276"/>
    </row>
    <row r="277" spans="2:3" x14ac:dyDescent="0.25">
      <c r="B277"/>
      <c r="C277"/>
    </row>
    <row r="278" spans="2:3" x14ac:dyDescent="0.25">
      <c r="B278"/>
      <c r="C278"/>
    </row>
    <row r="279" spans="2:3" x14ac:dyDescent="0.25">
      <c r="B279"/>
      <c r="C279"/>
    </row>
    <row r="280" spans="2:3" x14ac:dyDescent="0.25">
      <c r="B280"/>
      <c r="C280"/>
    </row>
    <row r="281" spans="2:3" x14ac:dyDescent="0.25">
      <c r="B281"/>
      <c r="C281"/>
    </row>
    <row r="282" spans="2:3" x14ac:dyDescent="0.25">
      <c r="B282"/>
      <c r="C282"/>
    </row>
    <row r="283" spans="2:3" x14ac:dyDescent="0.25">
      <c r="B283"/>
      <c r="C283"/>
    </row>
    <row r="284" spans="2:3" x14ac:dyDescent="0.25">
      <c r="B284"/>
      <c r="C284"/>
    </row>
    <row r="285" spans="2:3" x14ac:dyDescent="0.25">
      <c r="B285"/>
      <c r="C285"/>
    </row>
    <row r="286" spans="2:3" x14ac:dyDescent="0.25">
      <c r="B286"/>
      <c r="C286"/>
    </row>
    <row r="287" spans="2:3" x14ac:dyDescent="0.25">
      <c r="B287"/>
      <c r="C287"/>
    </row>
    <row r="288" spans="2:3" x14ac:dyDescent="0.25">
      <c r="B288"/>
      <c r="C288"/>
    </row>
    <row r="289" spans="2:3" x14ac:dyDescent="0.25">
      <c r="B289"/>
      <c r="C289"/>
    </row>
    <row r="290" spans="2:3" x14ac:dyDescent="0.25">
      <c r="B290"/>
      <c r="C290"/>
    </row>
    <row r="291" spans="2:3" x14ac:dyDescent="0.25">
      <c r="B291"/>
      <c r="C291"/>
    </row>
    <row r="292" spans="2:3" x14ac:dyDescent="0.25">
      <c r="B292"/>
      <c r="C292"/>
    </row>
    <row r="293" spans="2:3" x14ac:dyDescent="0.25">
      <c r="B293"/>
      <c r="C293"/>
    </row>
    <row r="294" spans="2:3" x14ac:dyDescent="0.25">
      <c r="B294"/>
      <c r="C294"/>
    </row>
    <row r="295" spans="2:3" x14ac:dyDescent="0.25">
      <c r="B295"/>
      <c r="C295"/>
    </row>
    <row r="296" spans="2:3" x14ac:dyDescent="0.25">
      <c r="B296"/>
      <c r="C296"/>
    </row>
    <row r="297" spans="2:3" x14ac:dyDescent="0.25">
      <c r="B297"/>
      <c r="C297"/>
    </row>
    <row r="298" spans="2:3" x14ac:dyDescent="0.25">
      <c r="B298"/>
      <c r="C298"/>
    </row>
    <row r="299" spans="2:3" x14ac:dyDescent="0.25">
      <c r="B299"/>
      <c r="C299"/>
    </row>
    <row r="300" spans="2:3" x14ac:dyDescent="0.25">
      <c r="B300"/>
      <c r="C300"/>
    </row>
    <row r="301" spans="2:3" x14ac:dyDescent="0.25">
      <c r="B301"/>
      <c r="C301"/>
    </row>
    <row r="302" spans="2:3" x14ac:dyDescent="0.25">
      <c r="B302"/>
      <c r="C302"/>
    </row>
    <row r="303" spans="2:3" x14ac:dyDescent="0.25">
      <c r="B303"/>
      <c r="C303"/>
    </row>
    <row r="304" spans="2:3" x14ac:dyDescent="0.25">
      <c r="B304"/>
      <c r="C304"/>
    </row>
    <row r="305" spans="2:3" x14ac:dyDescent="0.25">
      <c r="B305"/>
      <c r="C305"/>
    </row>
    <row r="306" spans="2:3" x14ac:dyDescent="0.25">
      <c r="B306"/>
      <c r="C306"/>
    </row>
    <row r="307" spans="2:3" x14ac:dyDescent="0.25">
      <c r="B307"/>
      <c r="C307"/>
    </row>
    <row r="308" spans="2:3" x14ac:dyDescent="0.25">
      <c r="B308"/>
      <c r="C308"/>
    </row>
    <row r="309" spans="2:3" x14ac:dyDescent="0.25">
      <c r="B309"/>
      <c r="C309"/>
    </row>
    <row r="310" spans="2:3" x14ac:dyDescent="0.25">
      <c r="B310"/>
      <c r="C310"/>
    </row>
    <row r="311" spans="2:3" x14ac:dyDescent="0.25">
      <c r="B311"/>
      <c r="C311"/>
    </row>
    <row r="312" spans="2:3" x14ac:dyDescent="0.25">
      <c r="B312"/>
      <c r="C312"/>
    </row>
    <row r="313" spans="2:3" x14ac:dyDescent="0.25">
      <c r="B313"/>
      <c r="C313"/>
    </row>
    <row r="314" spans="2:3" x14ac:dyDescent="0.25">
      <c r="B314"/>
      <c r="C314"/>
    </row>
    <row r="315" spans="2:3" x14ac:dyDescent="0.25">
      <c r="B315"/>
      <c r="C315"/>
    </row>
    <row r="316" spans="2:3" x14ac:dyDescent="0.25">
      <c r="B316"/>
      <c r="C316"/>
    </row>
    <row r="317" spans="2:3" x14ac:dyDescent="0.25">
      <c r="B317"/>
      <c r="C317"/>
    </row>
    <row r="318" spans="2:3" x14ac:dyDescent="0.25">
      <c r="B318"/>
      <c r="C318"/>
    </row>
    <row r="319" spans="2:3" x14ac:dyDescent="0.25">
      <c r="B319"/>
      <c r="C319"/>
    </row>
    <row r="320" spans="2:3" x14ac:dyDescent="0.25">
      <c r="B320"/>
      <c r="C320"/>
    </row>
    <row r="321" spans="2:3" x14ac:dyDescent="0.25">
      <c r="B321"/>
      <c r="C321"/>
    </row>
    <row r="322" spans="2:3" x14ac:dyDescent="0.25">
      <c r="B322"/>
      <c r="C322"/>
    </row>
    <row r="323" spans="2:3" x14ac:dyDescent="0.25">
      <c r="B323"/>
      <c r="C323"/>
    </row>
    <row r="324" spans="2:3" x14ac:dyDescent="0.25">
      <c r="B324"/>
      <c r="C324"/>
    </row>
    <row r="325" spans="2:3" x14ac:dyDescent="0.25">
      <c r="B325"/>
      <c r="C325"/>
    </row>
    <row r="326" spans="2:3" x14ac:dyDescent="0.25">
      <c r="B326"/>
      <c r="C326"/>
    </row>
    <row r="327" spans="2:3" x14ac:dyDescent="0.25">
      <c r="B327"/>
      <c r="C327"/>
    </row>
    <row r="328" spans="2:3" x14ac:dyDescent="0.25">
      <c r="B328"/>
      <c r="C328"/>
    </row>
    <row r="329" spans="2:3" x14ac:dyDescent="0.25">
      <c r="B329"/>
      <c r="C329"/>
    </row>
    <row r="330" spans="2:3" x14ac:dyDescent="0.25">
      <c r="B330"/>
      <c r="C330"/>
    </row>
    <row r="331" spans="2:3" x14ac:dyDescent="0.25">
      <c r="B331"/>
      <c r="C331"/>
    </row>
    <row r="332" spans="2:3" x14ac:dyDescent="0.25">
      <c r="B332"/>
      <c r="C332"/>
    </row>
    <row r="333" spans="2:3" x14ac:dyDescent="0.25">
      <c r="B333"/>
      <c r="C333"/>
    </row>
    <row r="334" spans="2:3" x14ac:dyDescent="0.25">
      <c r="B334"/>
      <c r="C334"/>
    </row>
    <row r="335" spans="2:3" x14ac:dyDescent="0.25">
      <c r="B335"/>
      <c r="C335"/>
    </row>
    <row r="336" spans="2:3" x14ac:dyDescent="0.25">
      <c r="B336"/>
      <c r="C336"/>
    </row>
    <row r="337" spans="2:3" x14ac:dyDescent="0.25">
      <c r="B337"/>
      <c r="C337"/>
    </row>
    <row r="338" spans="2:3" x14ac:dyDescent="0.25">
      <c r="B338"/>
      <c r="C338"/>
    </row>
    <row r="339" spans="2:3" x14ac:dyDescent="0.25">
      <c r="B339"/>
      <c r="C339"/>
    </row>
    <row r="340" spans="2:3" x14ac:dyDescent="0.25">
      <c r="B340"/>
      <c r="C340"/>
    </row>
    <row r="341" spans="2:3" x14ac:dyDescent="0.25">
      <c r="B341"/>
      <c r="C341"/>
    </row>
    <row r="342" spans="2:3" x14ac:dyDescent="0.25">
      <c r="B342"/>
      <c r="C342"/>
    </row>
    <row r="343" spans="2:3" x14ac:dyDescent="0.25">
      <c r="B343"/>
      <c r="C343"/>
    </row>
    <row r="344" spans="2:3" x14ac:dyDescent="0.25">
      <c r="B344"/>
      <c r="C344"/>
    </row>
    <row r="345" spans="2:3" x14ac:dyDescent="0.25">
      <c r="B345"/>
      <c r="C345"/>
    </row>
    <row r="346" spans="2:3" x14ac:dyDescent="0.25">
      <c r="B346"/>
      <c r="C346"/>
    </row>
    <row r="347" spans="2:3" x14ac:dyDescent="0.25">
      <c r="B347"/>
      <c r="C347"/>
    </row>
    <row r="348" spans="2:3" x14ac:dyDescent="0.25">
      <c r="B348"/>
      <c r="C348"/>
    </row>
    <row r="349" spans="2:3" x14ac:dyDescent="0.25">
      <c r="B349"/>
      <c r="C349"/>
    </row>
    <row r="350" spans="2:3" x14ac:dyDescent="0.25">
      <c r="B350"/>
      <c r="C350"/>
    </row>
    <row r="351" spans="2:3" x14ac:dyDescent="0.25">
      <c r="B351"/>
      <c r="C351"/>
    </row>
    <row r="352" spans="2:3" x14ac:dyDescent="0.25">
      <c r="B352"/>
      <c r="C352"/>
    </row>
    <row r="353" spans="2:3" x14ac:dyDescent="0.25">
      <c r="B353"/>
      <c r="C353"/>
    </row>
    <row r="354" spans="2:3" x14ac:dyDescent="0.25">
      <c r="B354"/>
      <c r="C354"/>
    </row>
    <row r="355" spans="2:3" x14ac:dyDescent="0.25">
      <c r="B355"/>
      <c r="C355"/>
    </row>
    <row r="356" spans="2:3" x14ac:dyDescent="0.25">
      <c r="B356"/>
      <c r="C356"/>
    </row>
    <row r="357" spans="2:3" x14ac:dyDescent="0.25">
      <c r="B357"/>
      <c r="C357"/>
    </row>
    <row r="358" spans="2:3" x14ac:dyDescent="0.25">
      <c r="B358"/>
      <c r="C358"/>
    </row>
    <row r="359" spans="2:3" x14ac:dyDescent="0.25">
      <c r="B359"/>
      <c r="C359"/>
    </row>
    <row r="360" spans="2:3" x14ac:dyDescent="0.25">
      <c r="B360"/>
      <c r="C360"/>
    </row>
    <row r="361" spans="2:3" x14ac:dyDescent="0.25">
      <c r="B361"/>
      <c r="C361"/>
    </row>
    <row r="362" spans="2:3" x14ac:dyDescent="0.25">
      <c r="B362"/>
      <c r="C362"/>
    </row>
    <row r="363" spans="2:3" x14ac:dyDescent="0.25">
      <c r="B363"/>
      <c r="C363"/>
    </row>
    <row r="364" spans="2:3" x14ac:dyDescent="0.25">
      <c r="B364"/>
      <c r="C364"/>
    </row>
    <row r="365" spans="2:3" x14ac:dyDescent="0.25">
      <c r="B365"/>
      <c r="C365"/>
    </row>
    <row r="366" spans="2:3" x14ac:dyDescent="0.25">
      <c r="B366"/>
      <c r="C366"/>
    </row>
    <row r="367" spans="2:3" x14ac:dyDescent="0.25">
      <c r="B367"/>
      <c r="C367"/>
    </row>
    <row r="368" spans="2:3" x14ac:dyDescent="0.25">
      <c r="B368"/>
      <c r="C368"/>
    </row>
    <row r="369" spans="2:3" x14ac:dyDescent="0.25">
      <c r="B369"/>
      <c r="C369"/>
    </row>
    <row r="370" spans="2:3" x14ac:dyDescent="0.25">
      <c r="B370"/>
      <c r="C370"/>
    </row>
  </sheetData>
  <mergeCells count="14">
    <mergeCell ref="T2:U2"/>
    <mergeCell ref="V2:W2"/>
    <mergeCell ref="X2:Y2"/>
    <mergeCell ref="B1:Y1"/>
    <mergeCell ref="J2:K2"/>
    <mergeCell ref="L2:M2"/>
    <mergeCell ref="N2:O2"/>
    <mergeCell ref="P2:Q2"/>
    <mergeCell ref="R2:S2"/>
    <mergeCell ref="B38:C38"/>
    <mergeCell ref="B2:C2"/>
    <mergeCell ref="D2:E2"/>
    <mergeCell ref="F2:G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2025-01-23T12:21:03Z</dcterms:modified>
</cp:coreProperties>
</file>